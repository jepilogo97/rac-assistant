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2ea08cfefb535b/Documents/AI_MASTER/Proyecto_III_de_innovación_tecnologica_en_IA/proyecto_final_mia/files-example/"/>
    </mc:Choice>
  </mc:AlternateContent>
  <xr:revisionPtr revIDLastSave="13" documentId="11_80702AC9413F0F127BE07DF7D72A10E56E822426" xr6:coauthVersionLast="47" xr6:coauthVersionMax="47" xr10:uidLastSave="{47B739A8-3CCF-4CAC-BD38-FEEA38EEFCD6}"/>
  <bookViews>
    <workbookView xWindow="1416" yWindow="1212" windowWidth="21624" windowHeight="12468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<sst xmlns="http://schemas.openxmlformats.org/spreadsheetml/2006/main" count="176" uniqueCount="53">
  <si>
    <t>Estado Actividad</t>
  </si>
  <si>
    <t>Actividad</t>
  </si>
  <si>
    <t>Descripción</t>
  </si>
  <si>
    <t>AS-IS</t>
  </si>
  <si>
    <t>NO</t>
  </si>
  <si>
    <t>Cargo que ejecuta la tarea</t>
  </si>
  <si>
    <t>Tarea Automatizada</t>
  </si>
  <si>
    <t>No. Colaboradores que ejecutan la tarea</t>
  </si>
  <si>
    <t>Volumen Promedio Mensual</t>
  </si>
  <si>
    <t>Tiempo Menor</t>
  </si>
  <si>
    <t>Tiempo Mayor</t>
  </si>
  <si>
    <t>Tiempo Promedio</t>
  </si>
  <si>
    <t>Tiempo Estándar (Min/Tarea)</t>
  </si>
  <si>
    <t>Cargar información en aplicativo Core Fomento</t>
  </si>
  <si>
    <t>Descargar el reporte de diagnósticos de Propulsor en el cual se encuentra la información de las empresas gestionadas</t>
  </si>
  <si>
    <t xml:space="preserve">Analistas Regionales de Desarrollo Empresarial </t>
  </si>
  <si>
    <t>Ingresar el reporte en la carpeta de gestión correspondiente al mes para una mayor organización</t>
  </si>
  <si>
    <t>Revisión del reporte de diagnósticos de Propulsor y filtro de información por la regional correspondiente</t>
  </si>
  <si>
    <r>
      <t xml:space="preserve">Diligenciar la información una a una empresas que se encuentran en el reporte de Populsor en los </t>
    </r>
    <r>
      <rPr>
        <b/>
        <sz val="12"/>
        <color rgb="FFFF0000"/>
        <rFont val="Calibri"/>
        <family val="2"/>
      </rPr>
      <t>25</t>
    </r>
    <r>
      <rPr>
        <sz val="12"/>
        <rFont val="Calibri"/>
        <family val="2"/>
      </rPr>
      <t xml:space="preserve"> campos correspondientes del aplicativo Core-Fomento para su registro</t>
    </r>
  </si>
  <si>
    <t>Revisar calidad de la información y detectar inconsistencias</t>
  </si>
  <si>
    <t>Una vez finalizado el cargue de información en el aplicativo por parte de las Analistas Regionales, se proceder a descargar el reporte de empresas de Core - Fomento.</t>
  </si>
  <si>
    <t>Analista Nacional de Desarrollo Empresarial</t>
  </si>
  <si>
    <t>Ingresar el reporte en la carpeta correspondiente al cierre del mes para una mayor organización</t>
  </si>
  <si>
    <t>Revisión del reporte de empresas ingresado en Core - Fomento. Realización de filtros para obtener lo que corresponde para el mes</t>
  </si>
  <si>
    <t>Se apertura el Excel del consolidado de empresas del mes y se pasa en él toda la información de las empresas del reporte de Core previsamente filtrado y seleccionado</t>
  </si>
  <si>
    <t>En el Excel consolidado de empresas se realiza el respectivo proceso de análisis y depuración de información en las 4 hojas correspondientes del documento para hacer este proceso y se finnaliza con la hoja consolidado.</t>
  </si>
  <si>
    <t>SÍ</t>
  </si>
  <si>
    <t>Una vez se tiene la hoja consolidado del Excel, se procede a realizar tabla dinámica que consolida los resultados de empresas y empleos que salen en este primer consolidado por regionales y compararlo con el inventario de empresas</t>
  </si>
  <si>
    <t>Se revisa y se saca en una hoja aparte aquellas empresas que aparecen con información incompleta como "sin estado o si regional" para que las analistas regionales puedan revisarlas y corregirlas</t>
  </si>
  <si>
    <t>Se finaliza sacando la hoja "empresas que faltan" para que las regionales puedan ingresar en ella aquellas que no están aun saliendo en el reporte</t>
  </si>
  <si>
    <t xml:space="preserve">Construcción de mail con la consolidación de empresas y las inconsistencias evidenciadas de la información. Se adjunta el archivo consolidado y se indica en el correo el proceso a realizar. </t>
  </si>
  <si>
    <t>Envío de mail a las Analistas Regionales de Desarrollo Empresarial con la consolidacion de las empresas y las inconsistencias evidenciadas de la información para su corrección</t>
  </si>
  <si>
    <t>Las Analistas Regionales de Desarrollo Empresarial descargan el documento enviado por correo para iniciar la revisión</t>
  </si>
  <si>
    <t>Realizan revisión de las empresas con información incompleta en la hoja "Sin estado - Sin Regional". La actualizan en el aplicativo Core - Fomento y la complementan en el consolidado de empresas manualmente</t>
  </si>
  <si>
    <t>Realizan comparación del consolidado de empresas enviado vs la información de su gestión propia con el fin de encontrar errores o empresas faltantes. Realizan en una columna nueva observaciones y/o comentarios que puedan tener y requieran que se revise</t>
  </si>
  <si>
    <t>Revisan las empresas que de su gestión realizada están haciendo falta en el consolidado enviado por la Analista Nacional de Desarrollo Empresarial. Ingresan una a una manualmente en el Excel la información de esas empresas en la hoja "Empresas que faltan" llenando las 29 columnas</t>
  </si>
  <si>
    <t>Una vez finalizado este proceso del consolidado de empresas, las Analistas Regionales de Desarrollo Empresarial deberán enviar un correo con la revisión realizada y sus detalles a la Analista Nacional de Desarrollo Empresarial</t>
  </si>
  <si>
    <t xml:space="preserve">La Analista Nacional de Desarrollo Empresarial deberá descargar cada uno de los documentos enviados a revisión por parte de las Analistas Regionales de Desarrollo Empresarial y organizarlos debidamente en una carpeta </t>
  </si>
  <si>
    <t>La Analista Nacional de Desarrollo Empresarial revisará que se haya completado la información de las empresas en "Sin estado - Sin Regional" y procederá a actualizarlas en el consolidado para que ingresen bien en los indicadores de la tabla dinámica</t>
  </si>
  <si>
    <t>La Analista Nacional de Desarrollo Empresarial deberá revisar cada uno de los comentarios y/o observaciones enviados en cada uno de los documentos por parte de las Analistas Regionales de Desarrollo Empresarial.</t>
  </si>
  <si>
    <t>La Analista Nacional de Desarrollo Empresarial  deberá revisar las empresas ingresadas en la hoja "Empresas que faltan" por cada regional, para validar que efectivamente no estén en el consolidado y sí cumplan con los requerimientos para cumplir como empresa en el mes</t>
  </si>
  <si>
    <t>La Analista Nacional de Desarrollo Empresarial deberá ingresar manualmente al final del consolidado las empresas que hacían falta y cumplían con los requsitos para contarlas</t>
  </si>
  <si>
    <t xml:space="preserve">Una vez finalizada esta ultima revisión, La Analista Nacional de Desarrollo Empresarial deberá enviar un correo a cada Analista Regional de Desarrollo Empresarial con lo encontrado y los ultimos comentarios. Asimismo, se informa en el correo la actualización de cómo quedaría el indicador de empresas y empleos </t>
  </si>
  <si>
    <t>Desde el área comercial, comparten a la Analista Nacional de Desarrollo Empresarial la información de las empresas gestionadas en el mes a través de la colocación de microcrédito. Este proceso se hace a través de un correo.</t>
  </si>
  <si>
    <t>Analista Nacional Comercial</t>
  </si>
  <si>
    <t>La Analista Nacional de Desarrollo Empresarial deberá ingresar manualmente al final del consolidado esas empresas reportadas a través del área comercial or la colocación de microcrédito. Deberá validar que no se encuentren repetidas con las que ya se encuentran en el consolidado</t>
  </si>
  <si>
    <t xml:space="preserve">Revisión final y consolidación del  reporte mensual de empresas </t>
  </si>
  <si>
    <t>Una vez se tenga el consolidado final con las empresas de desarrollo empresarial y de microcrédito que cuentan para el mes, se debe actualizar la hoja "plano", donde se reportan uno a uno los resultados de empresas y empleos por cada regional y por zonas. Se debe revisar que coincida con la TD.</t>
  </si>
  <si>
    <t>Una vez actualizada la hoja "plano", se deberá pasar la información al FUN-FT 002 el cual funciona como documento oficial donde se reportan  todos los indicadores finales y mensuales de cada área de Fundación Coomeva</t>
  </si>
  <si>
    <t>Para actualizar el Inventario de Empresas, se deberá abrir edición en escritorio y desbloquear el documento.</t>
  </si>
  <si>
    <t>Con el consolidado de empresas del mes (incluyendo las de desarrollo empresarial y microcrédito) se deberá actualizar el Inventario de Empresas ingresándolas en la parte inicial y añadiendo el mes en el que fue gestionada la empresa, el género y la edad (esto ultimo cruzando con BUC)</t>
  </si>
  <si>
    <t>Se deberá revisar que en el Inventario de Empresas la hoja "validación de repetidas" que funciona como motor de busqueda, no presente ningun error en sus formulas y esté tomando la información añadida recientemente.</t>
  </si>
  <si>
    <t>Se notificará por correo y por chat a las Analistas Regionales de Desarrollo Empresarial que el Inventario de Empresas se encuentra actualizado para que lo puedan usar como motor de busqueda en su nueva gestión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</si>
</sst>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FFFF"/>
      <name val="Arial"/>
    </font>
    <font>
      <b/>
      <sz val="10"/>
      <color theme="0"/>
      <name val="Arial"/>
    </font>
    <font>
      <sz val="10"/>
      <color theme="1"/>
      <name val="Arial"/>
    </font>
    <font>
      <b/>
      <u/>
      <sz val="10"/>
      <color rgb="FFFFFFFF"/>
      <name val="Arial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C7C54"/>
        <bgColor rgb="FF1C7C5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190FC22E-D0BA-42B2-BE15-C6AA095D02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G1" workbookViewId="0">
      <selection activeCell="K2" sqref="K2:K34"/>
    </sheetView>
  </sheetViews>
  <sheetFormatPr baseColWidth="10" defaultColWidth="12.6640625" defaultRowHeight="15" customHeight="1" x14ac:dyDescent="0.25"/>
  <cols>
    <col min="1" max="1" width="11" customWidth="1"/>
    <col min="2" max="2" width="23.109375" customWidth="1"/>
    <col min="3" max="3" width="54.44140625" customWidth="1"/>
    <col min="4" max="4" width="21.88671875" customWidth="1"/>
    <col min="5" max="5" width="18.44140625" customWidth="1"/>
    <col min="6" max="7" width="20.109375" customWidth="1"/>
    <col min="8" max="11" width="18.6640625" customWidth="1"/>
    <col min="12" max="26" width="9.109375" customWidth="1"/>
  </cols>
  <sheetData>
    <row r="1" spans="1:26" ht="12.75" customHeight="1" x14ac:dyDescent="0.25">
      <c r="A1" s="1" t="s">
        <v>0</v>
      </c>
      <c r="B1" s="1" t="s">
        <v>1</v>
      </c>
      <c r="C1" s="5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  <c r="K1" s="2" t="s">
        <v>12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6" t="s">
        <v>3</v>
      </c>
      <c r="B2" s="7" t="s">
        <v>13</v>
      </c>
      <c r="C2" s="8" t="s">
        <v>14</v>
      </c>
      <c r="D2" s="9" t="s">
        <v>15</v>
      </c>
      <c r="E2" s="9" t="s">
        <v>4</v>
      </c>
      <c r="F2" s="9">
        <v>6</v>
      </c>
      <c r="G2" s="9">
        <v>2</v>
      </c>
      <c r="H2" s="9">
        <v>2</v>
      </c>
      <c r="I2" s="9">
        <v>5</v>
      </c>
      <c r="J2" s="9">
        <f>IFERROR(AVERAGE(H2:I2),"")</f>
        <v>3.5</v>
      </c>
      <c r="K2" s="10">
        <f>IFERROR(ROUND(J2*(1+0.07),2),"")</f>
        <v>3.75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6" t="s">
        <v>3</v>
      </c>
      <c r="B3" s="7" t="s">
        <v>13</v>
      </c>
      <c r="C3" s="8" t="s">
        <v>16</v>
      </c>
      <c r="D3" s="9" t="s">
        <v>15</v>
      </c>
      <c r="E3" s="9" t="s">
        <v>4</v>
      </c>
      <c r="F3" s="9">
        <v>6</v>
      </c>
      <c r="G3" s="9">
        <v>2</v>
      </c>
      <c r="H3" s="9">
        <v>1</v>
      </c>
      <c r="I3" s="9">
        <v>2</v>
      </c>
      <c r="J3" s="9">
        <f t="shared" ref="J3:J19" si="0">IFERROR(AVERAGE(H3:I3),"")</f>
        <v>1.5</v>
      </c>
      <c r="K3" s="10">
        <f t="shared" ref="K3:K34" si="1">IFERROR(ROUND(J3*(1+0.07),2),"")</f>
        <v>1.61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6" t="s">
        <v>3</v>
      </c>
      <c r="B4" s="7" t="s">
        <v>13</v>
      </c>
      <c r="C4" s="8" t="s">
        <v>17</v>
      </c>
      <c r="D4" s="9" t="s">
        <v>15</v>
      </c>
      <c r="E4" s="9" t="s">
        <v>4</v>
      </c>
      <c r="F4" s="9">
        <v>6</v>
      </c>
      <c r="G4" s="9">
        <v>2</v>
      </c>
      <c r="H4" s="9">
        <v>5</v>
      </c>
      <c r="I4" s="9">
        <v>8</v>
      </c>
      <c r="J4" s="9">
        <f t="shared" si="0"/>
        <v>6.5</v>
      </c>
      <c r="K4" s="10">
        <f t="shared" si="1"/>
        <v>6.96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6" t="s">
        <v>3</v>
      </c>
      <c r="B5" s="7" t="s">
        <v>13</v>
      </c>
      <c r="C5" s="8" t="s">
        <v>18</v>
      </c>
      <c r="D5" s="9" t="s">
        <v>15</v>
      </c>
      <c r="E5" s="9" t="s">
        <v>4</v>
      </c>
      <c r="F5" s="9">
        <v>6</v>
      </c>
      <c r="G5" s="9">
        <v>900</v>
      </c>
      <c r="H5" s="9">
        <v>3</v>
      </c>
      <c r="I5" s="9">
        <v>5</v>
      </c>
      <c r="J5" s="9">
        <f t="shared" si="0"/>
        <v>4</v>
      </c>
      <c r="K5" s="10">
        <f t="shared" si="1"/>
        <v>4.28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6" t="s">
        <v>3</v>
      </c>
      <c r="B6" s="7" t="s">
        <v>19</v>
      </c>
      <c r="C6" s="11" t="s">
        <v>20</v>
      </c>
      <c r="D6" s="9" t="s">
        <v>21</v>
      </c>
      <c r="E6" s="9" t="s">
        <v>4</v>
      </c>
      <c r="F6" s="9">
        <v>1</v>
      </c>
      <c r="G6" s="9">
        <v>2</v>
      </c>
      <c r="H6" s="9">
        <v>2</v>
      </c>
      <c r="I6" s="9">
        <v>5</v>
      </c>
      <c r="J6" s="9">
        <f t="shared" si="0"/>
        <v>3.5</v>
      </c>
      <c r="K6" s="10">
        <f t="shared" si="1"/>
        <v>3.75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6" t="s">
        <v>3</v>
      </c>
      <c r="B7" s="7" t="s">
        <v>19</v>
      </c>
      <c r="C7" s="8" t="s">
        <v>22</v>
      </c>
      <c r="D7" s="9" t="s">
        <v>21</v>
      </c>
      <c r="E7" s="9" t="s">
        <v>4</v>
      </c>
      <c r="F7" s="9">
        <v>1</v>
      </c>
      <c r="G7" s="9">
        <v>2</v>
      </c>
      <c r="H7" s="9">
        <v>2</v>
      </c>
      <c r="I7" s="9">
        <v>3</v>
      </c>
      <c r="J7" s="9">
        <f t="shared" si="0"/>
        <v>2.5</v>
      </c>
      <c r="K7" s="10">
        <f t="shared" si="1"/>
        <v>2.68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6" t="s">
        <v>3</v>
      </c>
      <c r="B8" s="7" t="s">
        <v>19</v>
      </c>
      <c r="C8" s="8" t="s">
        <v>23</v>
      </c>
      <c r="D8" s="9" t="s">
        <v>21</v>
      </c>
      <c r="E8" s="9" t="s">
        <v>4</v>
      </c>
      <c r="F8" s="9">
        <v>1</v>
      </c>
      <c r="G8" s="9">
        <v>2</v>
      </c>
      <c r="H8" s="9">
        <v>6</v>
      </c>
      <c r="I8" s="9">
        <v>10</v>
      </c>
      <c r="J8" s="9">
        <f t="shared" si="0"/>
        <v>8</v>
      </c>
      <c r="K8" s="10">
        <f t="shared" si="1"/>
        <v>8.56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6" t="s">
        <v>3</v>
      </c>
      <c r="B9" s="7" t="s">
        <v>19</v>
      </c>
      <c r="C9" s="8" t="s">
        <v>24</v>
      </c>
      <c r="D9" s="9" t="s">
        <v>21</v>
      </c>
      <c r="E9" s="9" t="s">
        <v>4</v>
      </c>
      <c r="F9" s="9">
        <v>1</v>
      </c>
      <c r="G9" s="9">
        <v>2</v>
      </c>
      <c r="H9" s="9">
        <v>5</v>
      </c>
      <c r="I9" s="9">
        <v>8</v>
      </c>
      <c r="J9" s="9">
        <f t="shared" si="0"/>
        <v>6.5</v>
      </c>
      <c r="K9" s="10">
        <f t="shared" si="1"/>
        <v>6.96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6" t="s">
        <v>3</v>
      </c>
      <c r="B10" s="7" t="s">
        <v>19</v>
      </c>
      <c r="C10" s="8" t="s">
        <v>25</v>
      </c>
      <c r="D10" s="9" t="s">
        <v>21</v>
      </c>
      <c r="E10" s="9" t="s">
        <v>26</v>
      </c>
      <c r="F10" s="9">
        <v>1</v>
      </c>
      <c r="G10" s="9">
        <v>2</v>
      </c>
      <c r="H10" s="9">
        <v>15</v>
      </c>
      <c r="I10" s="9">
        <v>20</v>
      </c>
      <c r="J10" s="9">
        <f t="shared" si="0"/>
        <v>17.5</v>
      </c>
      <c r="K10" s="10">
        <f t="shared" si="1"/>
        <v>18.73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6" t="s">
        <v>3</v>
      </c>
      <c r="B11" s="7" t="s">
        <v>19</v>
      </c>
      <c r="C11" s="8" t="s">
        <v>27</v>
      </c>
      <c r="D11" s="9" t="s">
        <v>21</v>
      </c>
      <c r="E11" s="9" t="s">
        <v>26</v>
      </c>
      <c r="F11" s="9">
        <v>1</v>
      </c>
      <c r="G11" s="9">
        <v>2</v>
      </c>
      <c r="H11" s="9">
        <v>5</v>
      </c>
      <c r="I11" s="9">
        <v>8</v>
      </c>
      <c r="J11" s="9">
        <f t="shared" si="0"/>
        <v>6.5</v>
      </c>
      <c r="K11" s="10">
        <f t="shared" si="1"/>
        <v>6.96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6" t="s">
        <v>3</v>
      </c>
      <c r="B12" s="7" t="s">
        <v>19</v>
      </c>
      <c r="C12" s="8" t="s">
        <v>28</v>
      </c>
      <c r="D12" s="9" t="s">
        <v>21</v>
      </c>
      <c r="E12" s="9" t="s">
        <v>4</v>
      </c>
      <c r="F12" s="9">
        <v>1</v>
      </c>
      <c r="G12" s="12">
        <v>30</v>
      </c>
      <c r="H12" s="9">
        <v>7</v>
      </c>
      <c r="I12" s="9">
        <v>10</v>
      </c>
      <c r="J12" s="9">
        <f t="shared" si="0"/>
        <v>8.5</v>
      </c>
      <c r="K12" s="10">
        <f t="shared" si="1"/>
        <v>9.1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 x14ac:dyDescent="0.25">
      <c r="A13" s="6" t="s">
        <v>3</v>
      </c>
      <c r="B13" s="7" t="s">
        <v>19</v>
      </c>
      <c r="C13" s="8" t="s">
        <v>29</v>
      </c>
      <c r="D13" s="9" t="s">
        <v>21</v>
      </c>
      <c r="E13" s="9" t="s">
        <v>4</v>
      </c>
      <c r="F13" s="9">
        <v>1</v>
      </c>
      <c r="G13" s="9">
        <v>1</v>
      </c>
      <c r="H13" s="9">
        <v>5</v>
      </c>
      <c r="I13" s="9">
        <v>7</v>
      </c>
      <c r="J13" s="9">
        <f t="shared" si="0"/>
        <v>6</v>
      </c>
      <c r="K13" s="10">
        <f t="shared" si="1"/>
        <v>6.42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6" t="s">
        <v>3</v>
      </c>
      <c r="B14" s="7" t="s">
        <v>19</v>
      </c>
      <c r="C14" s="11" t="s">
        <v>30</v>
      </c>
      <c r="D14" s="9" t="s">
        <v>21</v>
      </c>
      <c r="E14" s="9" t="s">
        <v>4</v>
      </c>
      <c r="F14" s="9">
        <v>1</v>
      </c>
      <c r="G14" s="9">
        <v>2</v>
      </c>
      <c r="H14" s="9">
        <v>5</v>
      </c>
      <c r="I14" s="9">
        <v>6</v>
      </c>
      <c r="J14" s="9">
        <f t="shared" si="0"/>
        <v>5.5</v>
      </c>
      <c r="K14" s="10">
        <f t="shared" si="1"/>
        <v>5.89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6" t="s">
        <v>3</v>
      </c>
      <c r="B15" s="7" t="s">
        <v>19</v>
      </c>
      <c r="C15" s="11" t="s">
        <v>31</v>
      </c>
      <c r="D15" s="9" t="s">
        <v>21</v>
      </c>
      <c r="E15" s="9" t="s">
        <v>4</v>
      </c>
      <c r="F15" s="9">
        <v>1</v>
      </c>
      <c r="G15" s="9">
        <v>2</v>
      </c>
      <c r="H15" s="9">
        <v>2</v>
      </c>
      <c r="I15" s="9">
        <v>3</v>
      </c>
      <c r="J15" s="9">
        <f t="shared" si="0"/>
        <v>2.5</v>
      </c>
      <c r="K15" s="10">
        <f t="shared" si="1"/>
        <v>2.68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6" t="s">
        <v>3</v>
      </c>
      <c r="B16" s="7" t="s">
        <v>19</v>
      </c>
      <c r="C16" s="11" t="s">
        <v>32</v>
      </c>
      <c r="D16" s="9" t="s">
        <v>15</v>
      </c>
      <c r="E16" s="9" t="s">
        <v>4</v>
      </c>
      <c r="F16" s="9">
        <v>6</v>
      </c>
      <c r="G16" s="9">
        <v>1</v>
      </c>
      <c r="H16" s="9">
        <v>2</v>
      </c>
      <c r="I16" s="9">
        <v>3</v>
      </c>
      <c r="J16" s="9">
        <f t="shared" si="0"/>
        <v>2.5</v>
      </c>
      <c r="K16" s="10">
        <f t="shared" si="1"/>
        <v>2.68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6" t="s">
        <v>3</v>
      </c>
      <c r="B17" s="7" t="s">
        <v>19</v>
      </c>
      <c r="C17" s="11" t="s">
        <v>33</v>
      </c>
      <c r="D17" s="9" t="s">
        <v>15</v>
      </c>
      <c r="E17" s="9" t="s">
        <v>4</v>
      </c>
      <c r="F17" s="9">
        <v>6</v>
      </c>
      <c r="G17" s="12">
        <v>30</v>
      </c>
      <c r="H17" s="9">
        <v>8</v>
      </c>
      <c r="I17" s="9">
        <v>12</v>
      </c>
      <c r="J17" s="9">
        <f t="shared" si="0"/>
        <v>10</v>
      </c>
      <c r="K17" s="10">
        <f t="shared" si="1"/>
        <v>10.7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6" t="s">
        <v>3</v>
      </c>
      <c r="B18" s="7" t="s">
        <v>19</v>
      </c>
      <c r="C18" s="11" t="s">
        <v>34</v>
      </c>
      <c r="D18" s="9" t="s">
        <v>15</v>
      </c>
      <c r="E18" s="9" t="s">
        <v>4</v>
      </c>
      <c r="F18" s="9">
        <v>6</v>
      </c>
      <c r="G18" s="12">
        <v>30</v>
      </c>
      <c r="H18" s="12">
        <v>60</v>
      </c>
      <c r="I18" s="12">
        <v>120</v>
      </c>
      <c r="J18" s="9">
        <f>IFERROR(AVERAGE(H18:I18),"")</f>
        <v>90</v>
      </c>
      <c r="K18" s="10">
        <f t="shared" si="1"/>
        <v>96.3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6" t="s">
        <v>3</v>
      </c>
      <c r="B19" s="7" t="s">
        <v>19</v>
      </c>
      <c r="C19" s="11" t="s">
        <v>35</v>
      </c>
      <c r="D19" s="9" t="s">
        <v>15</v>
      </c>
      <c r="E19" s="9" t="s">
        <v>4</v>
      </c>
      <c r="F19" s="9">
        <v>6</v>
      </c>
      <c r="G19" s="12">
        <v>20</v>
      </c>
      <c r="H19" s="12">
        <v>120</v>
      </c>
      <c r="I19" s="12">
        <v>180</v>
      </c>
      <c r="J19" s="9">
        <f t="shared" si="0"/>
        <v>150</v>
      </c>
      <c r="K19" s="10">
        <f t="shared" si="1"/>
        <v>160.5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6" t="s">
        <v>3</v>
      </c>
      <c r="B20" s="7" t="s">
        <v>19</v>
      </c>
      <c r="C20" s="11" t="s">
        <v>36</v>
      </c>
      <c r="D20" s="9" t="s">
        <v>15</v>
      </c>
      <c r="E20" s="9" t="s">
        <v>4</v>
      </c>
      <c r="F20" s="9">
        <v>6</v>
      </c>
      <c r="G20" s="12">
        <v>1</v>
      </c>
      <c r="H20" s="12">
        <v>5</v>
      </c>
      <c r="I20" s="12">
        <v>7</v>
      </c>
      <c r="J20" s="9">
        <f>IFERROR(AVERAGE(H20:I20),"")</f>
        <v>6</v>
      </c>
      <c r="K20" s="10">
        <f t="shared" si="1"/>
        <v>6.42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6" t="s">
        <v>3</v>
      </c>
      <c r="B21" s="7" t="s">
        <v>19</v>
      </c>
      <c r="C21" s="11" t="s">
        <v>37</v>
      </c>
      <c r="D21" s="9" t="s">
        <v>21</v>
      </c>
      <c r="E21" s="9" t="s">
        <v>4</v>
      </c>
      <c r="F21" s="9">
        <v>1</v>
      </c>
      <c r="G21" s="12">
        <v>6</v>
      </c>
      <c r="H21" s="12">
        <v>5</v>
      </c>
      <c r="I21" s="12">
        <v>7</v>
      </c>
      <c r="J21" s="9">
        <f>IFERROR(AVERAGE(H21:I21),"")</f>
        <v>6</v>
      </c>
      <c r="K21" s="10">
        <f t="shared" si="1"/>
        <v>6.42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6" t="s">
        <v>3</v>
      </c>
      <c r="B22" s="7" t="s">
        <v>19</v>
      </c>
      <c r="C22" s="11" t="s">
        <v>38</v>
      </c>
      <c r="D22" s="9" t="s">
        <v>21</v>
      </c>
      <c r="E22" s="9" t="s">
        <v>4</v>
      </c>
      <c r="F22" s="9">
        <v>1</v>
      </c>
      <c r="G22" s="12">
        <v>30</v>
      </c>
      <c r="H22" s="12">
        <v>10</v>
      </c>
      <c r="I22" s="12">
        <v>15</v>
      </c>
      <c r="J22" s="9">
        <f t="shared" ref="J22:J32" si="2">IFERROR(AVERAGE(H22:I22),"")</f>
        <v>12.5</v>
      </c>
      <c r="K22" s="10">
        <f t="shared" si="1"/>
        <v>13.38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6" t="s">
        <v>3</v>
      </c>
      <c r="B23" s="7" t="s">
        <v>19</v>
      </c>
      <c r="C23" s="11" t="s">
        <v>39</v>
      </c>
      <c r="D23" s="9" t="s">
        <v>21</v>
      </c>
      <c r="E23" s="9" t="s">
        <v>4</v>
      </c>
      <c r="F23" s="9">
        <v>1</v>
      </c>
      <c r="G23" s="12">
        <v>100</v>
      </c>
      <c r="H23" s="12">
        <v>120</v>
      </c>
      <c r="I23" s="12">
        <v>180</v>
      </c>
      <c r="J23" s="9">
        <f t="shared" si="2"/>
        <v>150</v>
      </c>
      <c r="K23" s="10">
        <f t="shared" si="1"/>
        <v>160.5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6" t="s">
        <v>3</v>
      </c>
      <c r="B24" s="7" t="s">
        <v>19</v>
      </c>
      <c r="C24" s="11" t="s">
        <v>40</v>
      </c>
      <c r="D24" s="9" t="s">
        <v>21</v>
      </c>
      <c r="E24" s="9" t="s">
        <v>4</v>
      </c>
      <c r="F24" s="9">
        <v>1</v>
      </c>
      <c r="G24" s="12">
        <v>120</v>
      </c>
      <c r="H24" s="12">
        <v>180</v>
      </c>
      <c r="I24" s="12">
        <v>240</v>
      </c>
      <c r="J24" s="9">
        <f t="shared" si="2"/>
        <v>210</v>
      </c>
      <c r="K24" s="10">
        <f t="shared" si="1"/>
        <v>224.7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6" t="s">
        <v>3</v>
      </c>
      <c r="B25" s="7" t="s">
        <v>19</v>
      </c>
      <c r="C25" s="11" t="s">
        <v>41</v>
      </c>
      <c r="D25" s="9" t="s">
        <v>21</v>
      </c>
      <c r="E25" s="9" t="s">
        <v>4</v>
      </c>
      <c r="F25" s="9">
        <v>1</v>
      </c>
      <c r="G25" s="12">
        <v>120</v>
      </c>
      <c r="H25" s="12">
        <v>120</v>
      </c>
      <c r="I25" s="12">
        <v>180</v>
      </c>
      <c r="J25" s="9">
        <f t="shared" si="2"/>
        <v>150</v>
      </c>
      <c r="K25" s="10">
        <f t="shared" si="1"/>
        <v>160.5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6" t="s">
        <v>3</v>
      </c>
      <c r="B26" s="7" t="s">
        <v>19</v>
      </c>
      <c r="C26" s="11" t="s">
        <v>42</v>
      </c>
      <c r="D26" s="9" t="s">
        <v>21</v>
      </c>
      <c r="E26" s="9" t="s">
        <v>4</v>
      </c>
      <c r="F26" s="12">
        <v>1</v>
      </c>
      <c r="G26" s="12">
        <v>6</v>
      </c>
      <c r="H26" s="12">
        <v>6</v>
      </c>
      <c r="I26" s="12">
        <v>10</v>
      </c>
      <c r="J26" s="12">
        <f t="shared" si="2"/>
        <v>8</v>
      </c>
      <c r="K26" s="10">
        <f t="shared" si="1"/>
        <v>8.56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6" t="s">
        <v>3</v>
      </c>
      <c r="B27" s="7" t="s">
        <v>19</v>
      </c>
      <c r="C27" s="11" t="s">
        <v>43</v>
      </c>
      <c r="D27" s="9" t="s">
        <v>44</v>
      </c>
      <c r="E27" s="9" t="s">
        <v>4</v>
      </c>
      <c r="F27" s="12">
        <v>1</v>
      </c>
      <c r="G27" s="12">
        <v>1</v>
      </c>
      <c r="H27" s="12">
        <v>5</v>
      </c>
      <c r="I27" s="12">
        <v>8</v>
      </c>
      <c r="J27" s="12">
        <f t="shared" si="2"/>
        <v>6.5</v>
      </c>
      <c r="K27" s="10">
        <f t="shared" si="1"/>
        <v>6.96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6" t="s">
        <v>3</v>
      </c>
      <c r="B28" s="13" t="s">
        <v>19</v>
      </c>
      <c r="C28" s="14" t="s">
        <v>45</v>
      </c>
      <c r="D28" s="12" t="s">
        <v>21</v>
      </c>
      <c r="E28" s="12" t="s">
        <v>4</v>
      </c>
      <c r="F28" s="12">
        <v>1</v>
      </c>
      <c r="G28" s="12">
        <v>20</v>
      </c>
      <c r="H28" s="12">
        <v>15</v>
      </c>
      <c r="I28" s="12">
        <v>20</v>
      </c>
      <c r="J28" s="12">
        <f t="shared" si="2"/>
        <v>17.5</v>
      </c>
      <c r="K28" s="10">
        <f t="shared" si="1"/>
        <v>18.73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6" t="s">
        <v>3</v>
      </c>
      <c r="B29" s="7" t="s">
        <v>46</v>
      </c>
      <c r="C29" s="14" t="s">
        <v>47</v>
      </c>
      <c r="D29" s="12" t="s">
        <v>21</v>
      </c>
      <c r="E29" s="12" t="s">
        <v>26</v>
      </c>
      <c r="F29" s="12">
        <v>1</v>
      </c>
      <c r="G29" s="12">
        <v>1200</v>
      </c>
      <c r="H29" s="12">
        <v>10</v>
      </c>
      <c r="I29" s="12">
        <v>15</v>
      </c>
      <c r="J29" s="12">
        <f t="shared" si="2"/>
        <v>12.5</v>
      </c>
      <c r="K29" s="10">
        <f t="shared" si="1"/>
        <v>13.38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6" t="s">
        <v>3</v>
      </c>
      <c r="B30" s="7" t="s">
        <v>46</v>
      </c>
      <c r="C30" s="14" t="s">
        <v>48</v>
      </c>
      <c r="D30" s="12" t="s">
        <v>21</v>
      </c>
      <c r="E30" s="12" t="s">
        <v>4</v>
      </c>
      <c r="F30" s="12">
        <v>1</v>
      </c>
      <c r="G30" s="12">
        <v>1200</v>
      </c>
      <c r="H30" s="12">
        <v>10</v>
      </c>
      <c r="I30" s="12">
        <v>15</v>
      </c>
      <c r="J30" s="12">
        <f t="shared" si="2"/>
        <v>12.5</v>
      </c>
      <c r="K30" s="10">
        <f t="shared" si="1"/>
        <v>13.38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6" t="s">
        <v>3</v>
      </c>
      <c r="B31" s="7" t="s">
        <v>46</v>
      </c>
      <c r="C31" s="14" t="s">
        <v>49</v>
      </c>
      <c r="D31" s="9" t="s">
        <v>21</v>
      </c>
      <c r="E31" s="12" t="s">
        <v>4</v>
      </c>
      <c r="F31" s="12">
        <v>1</v>
      </c>
      <c r="G31" s="12">
        <v>1</v>
      </c>
      <c r="H31" s="12">
        <v>3</v>
      </c>
      <c r="I31" s="12">
        <v>5</v>
      </c>
      <c r="J31" s="12">
        <f t="shared" si="2"/>
        <v>4</v>
      </c>
      <c r="K31" s="10">
        <f t="shared" si="1"/>
        <v>4.28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6" t="s">
        <v>3</v>
      </c>
      <c r="B32" s="7" t="s">
        <v>46</v>
      </c>
      <c r="C32" s="11" t="s">
        <v>50</v>
      </c>
      <c r="D32" s="9" t="s">
        <v>21</v>
      </c>
      <c r="E32" s="9" t="s">
        <v>4</v>
      </c>
      <c r="F32" s="9">
        <v>1</v>
      </c>
      <c r="G32" s="9">
        <v>900</v>
      </c>
      <c r="H32" s="9">
        <v>40</v>
      </c>
      <c r="I32" s="9">
        <v>60</v>
      </c>
      <c r="J32" s="9">
        <f t="shared" si="2"/>
        <v>50</v>
      </c>
      <c r="K32" s="10">
        <f t="shared" si="1"/>
        <v>53.5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6" t="s">
        <v>3</v>
      </c>
      <c r="B33" s="7" t="s">
        <v>46</v>
      </c>
      <c r="C33" s="11" t="s">
        <v>51</v>
      </c>
      <c r="D33" s="9" t="s">
        <v>21</v>
      </c>
      <c r="E33" s="9" t="s">
        <v>4</v>
      </c>
      <c r="F33" s="9">
        <v>1</v>
      </c>
      <c r="G33" s="15">
        <v>1</v>
      </c>
      <c r="H33" s="15">
        <v>5</v>
      </c>
      <c r="I33" s="15">
        <v>8</v>
      </c>
      <c r="J33" s="9">
        <f>IFERROR(AVERAGE(H33:I33),"")</f>
        <v>6.5</v>
      </c>
      <c r="K33" s="10">
        <f t="shared" si="1"/>
        <v>6.96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6" t="s">
        <v>3</v>
      </c>
      <c r="B34" s="7" t="s">
        <v>46</v>
      </c>
      <c r="C34" s="11" t="s">
        <v>52</v>
      </c>
      <c r="D34" s="9" t="s">
        <v>21</v>
      </c>
      <c r="E34" s="9" t="s">
        <v>4</v>
      </c>
      <c r="F34" s="9">
        <v>1</v>
      </c>
      <c r="G34" s="16">
        <v>1</v>
      </c>
      <c r="H34" s="15">
        <v>5</v>
      </c>
      <c r="I34" s="15">
        <v>8</v>
      </c>
      <c r="J34" s="9">
        <f>IFERROR(AVERAGE(H34:I34),"")</f>
        <v>6.5</v>
      </c>
      <c r="K34" s="10">
        <f t="shared" si="1"/>
        <v>6.96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4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4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4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4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4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4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4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4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4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4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4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4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4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4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4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4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4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4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4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4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4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4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4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4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4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4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4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4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4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4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4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4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4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4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4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4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4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4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4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4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4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4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4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4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4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4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4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4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4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4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4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4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4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4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4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4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4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4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4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4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4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4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4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4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4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4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4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4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4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4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4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4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4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4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4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4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4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4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4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4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4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4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4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4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4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4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4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4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4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4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4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4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4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4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4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4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4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4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4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4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4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4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4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4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4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4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4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4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4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4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4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4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4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4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4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4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4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4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4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4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4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4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4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4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4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4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4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4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4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4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4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4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4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4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4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4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4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4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4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4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4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4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4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4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4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4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4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4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4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4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4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4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4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4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4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4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4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4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4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4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4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4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4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4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4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4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4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4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4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4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4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4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4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4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4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4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4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4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4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4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4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4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4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4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4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4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4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4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4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4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4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4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4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4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4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4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4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4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4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4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4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4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4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4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4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4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4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4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4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4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4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4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4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4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4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4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4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4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4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4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4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4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4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4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4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4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4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4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4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4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4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4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4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4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4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4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4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4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4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4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4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4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4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4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4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4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4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4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4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4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4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4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4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4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4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4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4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4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4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4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4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4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4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4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4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4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4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4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4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4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4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4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4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4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4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4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4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4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4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4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4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4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4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4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4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4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4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4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4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4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4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4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4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4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4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4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4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InputMessage="1" showErrorMessage="1" sqref="A2:A34" xr:uid="{B0B2C24D-8084-4695-A481-3226FEEBDADA}">
      <formula1>"AS-IS, TO-BE"</formula1>
    </dataValidation>
    <dataValidation type="list" allowBlank="1" showInputMessage="1" showErrorMessage="1" sqref="E2:E34" xr:uid="{EE0CB221-8203-4DEE-B355-C339BA73B8FC}">
      <formula1>"SÍ,NO"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 Pierre Londoño Gonzalez</cp:lastModifiedBy>
  <dcterms:modified xsi:type="dcterms:W3CDTF">2025-11-22T20:08:07Z</dcterms:modified>
</cp:coreProperties>
</file>