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2ea08cfefb535b/Documents/AI_MASTER/Proyecto_III_de_innovación_tecnologica_en_IA/proyecto_final_mia/files-example/"/>
    </mc:Choice>
  </mc:AlternateContent>
  <xr:revisionPtr revIDLastSave="16" documentId="11_80702AC9413F0F127BE07DF7D72A10E56E822426" xr6:coauthVersionLast="47" xr6:coauthVersionMax="47" xr10:uidLastSave="{F4E77104-9827-48A7-8D6A-9A24196138F5}"/>
  <bookViews>
    <workbookView xWindow="1416" yWindow="1212" windowWidth="21624" windowHeight="12468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1" i="1"/>
  <c r="K10" i="1"/>
  <c r="K9" i="1"/>
  <c r="K8" i="1"/>
  <c r="K7" i="1"/>
  <c r="K6" i="1"/>
  <c r="K5" i="1"/>
  <c r="K4" i="1"/>
  <c r="K3" i="1"/>
  <c r="K2" i="1"/>
  <c r="J2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<sst xmlns="http://schemas.openxmlformats.org/spreadsheetml/2006/main" count="66" uniqueCount="29">
  <si>
    <t>Estado Actividad</t>
  </si>
  <si>
    <t>Actividad</t>
  </si>
  <si>
    <t>Descripción</t>
  </si>
  <si>
    <t>AS-IS</t>
  </si>
  <si>
    <t>Planeación</t>
  </si>
  <si>
    <t>Recepción y lectura de solicitud o requerimiento del cliente por correo electrónico</t>
  </si>
  <si>
    <t>Coordinador movilidad reducida</t>
  </si>
  <si>
    <t>NO</t>
  </si>
  <si>
    <t>Descarga la documentación a carpeta de clientes.</t>
  </si>
  <si>
    <t xml:space="preserve">Válida pertinencia del requerimiento con el Formato adjunto (mipres), valida vigencia y número de traslados. </t>
  </si>
  <si>
    <t>Verifica completitud y calidad de la información del requerimiento que viene en el excel y valida los siguientes campos: fecha de traslado- hora- dirección- documento y nombre usuario- tele contacto- barrio y ubicación- dirección destino, hora de retorno, lugar de recogida - tipo de identificación y número de identificación.</t>
  </si>
  <si>
    <t>Diligencia el consolidado de programación (por hoja de calculo mes) fecha de traslado- nombre- hora de recogida- dirección de origen (color en blanco cali y color marron fuera del perímetro urbano)- hora de retorno- lugar destino- número telefónico paciente- tipo documento- numero doc- edad del usuario- diagnostico- municipio,fecha de nacimiento- genero- convenio- régimen al que pertenece usuario.</t>
  </si>
  <si>
    <t xml:space="preserve">Programación </t>
  </si>
  <si>
    <t>Validación de vehículos disponibles a diario (variables a tener en cuenta: Incapacidad conductor-  viajes fuera de la ciudad- reparación- pico y placa- mantenimiento ) valida horarios de atención acorde a primer viaje.  Para programar servicio</t>
  </si>
  <si>
    <t xml:space="preserve">Asignar vehículos en archivo consolidado de programación, diligencia campos móvil de origen y retorno. </t>
  </si>
  <si>
    <t>Enviar archivo a cada conductor vía whatsapp, desde fecha de traslado hasta municipio.</t>
  </si>
  <si>
    <t xml:space="preserve">Prestación </t>
  </si>
  <si>
    <t xml:space="preserve">	Iniciar operación del vehículo para dar cumplimiento a los servicios programados</t>
  </si>
  <si>
    <t>Conductores</t>
  </si>
  <si>
    <t>Recepcionar novedades logísticas de los vehículos durante la prestación del servicio para impactar parrilla de programación de vehículos.</t>
  </si>
  <si>
    <t>Diligenciar formato registro de transporte con firma de pasajero o familiar</t>
  </si>
  <si>
    <t>Cargo que ejecuta la tarea</t>
  </si>
  <si>
    <t>Tarea Automatizada</t>
  </si>
  <si>
    <t>No. Colaboradores que ejecutan la tarea</t>
  </si>
  <si>
    <t>Volumen Promedio Mensual</t>
  </si>
  <si>
    <t>Tiempo Menor</t>
  </si>
  <si>
    <t>Tiempo Mayor</t>
  </si>
  <si>
    <t>Tiempo Promedio</t>
  </si>
  <si>
    <t>Tiempo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</si>
</sst>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0"/>
      <name val="Arial"/>
    </font>
    <font>
      <sz val="10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b/>
      <u/>
      <sz val="10"/>
      <color rgb="FFFFFFFF"/>
      <name val="Arial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7C54"/>
        <bgColor rgb="FF1C7C5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E1" workbookViewId="0">
      <selection activeCell="M8" sqref="M8"/>
    </sheetView>
  </sheetViews>
  <sheetFormatPr baseColWidth="10" defaultColWidth="12.6640625" defaultRowHeight="15" customHeight="1" x14ac:dyDescent="0.25"/>
  <cols>
    <col min="1" max="1" width="11" customWidth="1"/>
    <col min="2" max="2" width="23.109375" customWidth="1"/>
    <col min="3" max="3" width="54.44140625" customWidth="1"/>
    <col min="4" max="4" width="21.88671875" customWidth="1"/>
    <col min="5" max="5" width="18.44140625" customWidth="1"/>
    <col min="6" max="7" width="20.109375" customWidth="1"/>
    <col min="8" max="11" width="18.6640625" customWidth="1"/>
    <col min="12" max="26" width="9.109375" customWidth="1"/>
  </cols>
  <sheetData>
    <row r="1" spans="1:26" ht="12.75" customHeight="1" x14ac:dyDescent="0.25">
      <c r="A1" s="1" t="s">
        <v>0</v>
      </c>
      <c r="B1" s="1" t="s">
        <v>1</v>
      </c>
      <c r="C1" s="14" t="s">
        <v>2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1" t="s">
        <v>27</v>
      </c>
      <c r="K1" s="2" t="s">
        <v>28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4" t="s">
        <v>3</v>
      </c>
      <c r="B2" s="4" t="s">
        <v>4</v>
      </c>
      <c r="C2" s="5" t="s">
        <v>5</v>
      </c>
      <c r="D2" s="6" t="s">
        <v>6</v>
      </c>
      <c r="E2" s="6" t="s">
        <v>7</v>
      </c>
      <c r="F2" s="6">
        <v>1</v>
      </c>
      <c r="G2" s="6">
        <v>600</v>
      </c>
      <c r="H2" s="6">
        <v>5</v>
      </c>
      <c r="I2" s="6">
        <v>7</v>
      </c>
      <c r="J2" s="6">
        <f>IFERROR(AVERAGE(H2:I2),"")</f>
        <v>6</v>
      </c>
      <c r="K2" s="7">
        <f>IFERROR(ROUND(J2*(1+0.07),2),"")</f>
        <v>6.42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4" t="s">
        <v>3</v>
      </c>
      <c r="B3" s="4" t="s">
        <v>4</v>
      </c>
      <c r="C3" s="8" t="s">
        <v>8</v>
      </c>
      <c r="D3" s="6" t="s">
        <v>6</v>
      </c>
      <c r="E3" s="6" t="s">
        <v>7</v>
      </c>
      <c r="F3" s="6">
        <v>1</v>
      </c>
      <c r="G3" s="6">
        <v>1200</v>
      </c>
      <c r="H3" s="6">
        <v>5</v>
      </c>
      <c r="I3" s="6">
        <v>7</v>
      </c>
      <c r="J3" s="6">
        <f t="shared" ref="J3:J12" si="0">IFERROR(AVERAGE(H3:I3),"")</f>
        <v>6</v>
      </c>
      <c r="K3" s="7">
        <f t="shared" ref="K3:K12" si="1">IFERROR(ROUND(J3*(1+0.07),2),"")</f>
        <v>6.42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4" t="s">
        <v>3</v>
      </c>
      <c r="B4" s="4" t="s">
        <v>4</v>
      </c>
      <c r="C4" s="8" t="s">
        <v>9</v>
      </c>
      <c r="D4" s="6" t="s">
        <v>6</v>
      </c>
      <c r="E4" s="6" t="s">
        <v>7</v>
      </c>
      <c r="F4" s="6">
        <v>1</v>
      </c>
      <c r="G4" s="6">
        <v>600</v>
      </c>
      <c r="H4" s="6">
        <v>10</v>
      </c>
      <c r="I4" s="6">
        <v>13</v>
      </c>
      <c r="J4" s="6">
        <f t="shared" si="0"/>
        <v>11.5</v>
      </c>
      <c r="K4" s="7">
        <f t="shared" si="1"/>
        <v>12.31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4" t="s">
        <v>3</v>
      </c>
      <c r="B5" s="4" t="s">
        <v>4</v>
      </c>
      <c r="C5" s="8" t="s">
        <v>10</v>
      </c>
      <c r="D5" s="6" t="s">
        <v>6</v>
      </c>
      <c r="E5" s="6" t="s">
        <v>7</v>
      </c>
      <c r="F5" s="9">
        <v>1</v>
      </c>
      <c r="G5" s="9">
        <v>600</v>
      </c>
      <c r="H5" s="9">
        <v>15</v>
      </c>
      <c r="I5" s="9">
        <v>20</v>
      </c>
      <c r="J5" s="9">
        <f t="shared" si="0"/>
        <v>17.5</v>
      </c>
      <c r="K5" s="7">
        <f t="shared" si="1"/>
        <v>18.73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4" t="s">
        <v>3</v>
      </c>
      <c r="B6" s="4" t="s">
        <v>4</v>
      </c>
      <c r="C6" s="8" t="s">
        <v>11</v>
      </c>
      <c r="D6" s="6" t="s">
        <v>6</v>
      </c>
      <c r="E6" s="6" t="s">
        <v>7</v>
      </c>
      <c r="F6" s="9">
        <v>1</v>
      </c>
      <c r="G6" s="9">
        <v>600</v>
      </c>
      <c r="H6" s="9">
        <v>20</v>
      </c>
      <c r="I6" s="9">
        <v>30</v>
      </c>
      <c r="J6" s="9">
        <f t="shared" si="0"/>
        <v>25</v>
      </c>
      <c r="K6" s="7">
        <f t="shared" si="1"/>
        <v>26.75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4" t="s">
        <v>3</v>
      </c>
      <c r="B7" s="4" t="s">
        <v>12</v>
      </c>
      <c r="C7" s="8" t="s">
        <v>13</v>
      </c>
      <c r="D7" s="6" t="s">
        <v>6</v>
      </c>
      <c r="E7" s="6" t="s">
        <v>7</v>
      </c>
      <c r="F7" s="9">
        <v>1</v>
      </c>
      <c r="G7" s="9">
        <v>30</v>
      </c>
      <c r="H7" s="9">
        <v>60</v>
      </c>
      <c r="I7" s="9">
        <v>85</v>
      </c>
      <c r="J7" s="9">
        <f t="shared" si="0"/>
        <v>72.5</v>
      </c>
      <c r="K7" s="7">
        <f t="shared" si="1"/>
        <v>77.58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4" t="s">
        <v>3</v>
      </c>
      <c r="B8" s="4" t="s">
        <v>12</v>
      </c>
      <c r="C8" s="8" t="s">
        <v>14</v>
      </c>
      <c r="D8" s="6" t="s">
        <v>6</v>
      </c>
      <c r="E8" s="6" t="s">
        <v>7</v>
      </c>
      <c r="F8" s="9">
        <v>1</v>
      </c>
      <c r="G8" s="9">
        <v>30</v>
      </c>
      <c r="H8" s="9">
        <v>60</v>
      </c>
      <c r="I8" s="9">
        <v>85</v>
      </c>
      <c r="J8" s="9">
        <f t="shared" si="0"/>
        <v>72.5</v>
      </c>
      <c r="K8" s="7">
        <f t="shared" si="1"/>
        <v>77.58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4" t="s">
        <v>3</v>
      </c>
      <c r="B9" s="4" t="s">
        <v>12</v>
      </c>
      <c r="C9" s="8" t="s">
        <v>15</v>
      </c>
      <c r="D9" s="6" t="s">
        <v>6</v>
      </c>
      <c r="E9" s="6" t="s">
        <v>7</v>
      </c>
      <c r="F9" s="9">
        <v>1</v>
      </c>
      <c r="G9" s="9">
        <v>30</v>
      </c>
      <c r="H9" s="9">
        <v>5</v>
      </c>
      <c r="I9" s="9">
        <v>7</v>
      </c>
      <c r="J9" s="9">
        <f t="shared" si="0"/>
        <v>6</v>
      </c>
      <c r="K9" s="7">
        <f t="shared" si="1"/>
        <v>6.42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4" t="s">
        <v>3</v>
      </c>
      <c r="B10" s="4" t="s">
        <v>16</v>
      </c>
      <c r="C10" s="8" t="s">
        <v>17</v>
      </c>
      <c r="D10" s="6" t="s">
        <v>18</v>
      </c>
      <c r="E10" s="6" t="s">
        <v>7</v>
      </c>
      <c r="F10" s="9">
        <v>18</v>
      </c>
      <c r="G10" s="9">
        <v>3200</v>
      </c>
      <c r="H10" s="9"/>
      <c r="I10" s="9"/>
      <c r="J10" s="9" t="str">
        <f t="shared" si="0"/>
        <v/>
      </c>
      <c r="K10" s="7" t="str">
        <f t="shared" si="1"/>
        <v/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4" t="s">
        <v>3</v>
      </c>
      <c r="B11" s="4" t="s">
        <v>16</v>
      </c>
      <c r="C11" s="8" t="s">
        <v>19</v>
      </c>
      <c r="D11" s="6" t="s">
        <v>6</v>
      </c>
      <c r="E11" s="6" t="s">
        <v>7</v>
      </c>
      <c r="F11" s="9">
        <v>1</v>
      </c>
      <c r="G11" s="9">
        <v>35</v>
      </c>
      <c r="H11" s="9">
        <v>10</v>
      </c>
      <c r="I11" s="9">
        <v>12</v>
      </c>
      <c r="J11" s="9">
        <f t="shared" si="0"/>
        <v>11</v>
      </c>
      <c r="K11" s="7">
        <f t="shared" si="1"/>
        <v>11.77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4" t="s">
        <v>3</v>
      </c>
      <c r="B12" s="4" t="s">
        <v>16</v>
      </c>
      <c r="C12" s="8" t="s">
        <v>20</v>
      </c>
      <c r="D12" s="6" t="s">
        <v>18</v>
      </c>
      <c r="E12" s="6" t="s">
        <v>7</v>
      </c>
      <c r="F12" s="9">
        <v>1</v>
      </c>
      <c r="G12" s="9">
        <v>3200</v>
      </c>
      <c r="H12" s="9"/>
      <c r="I12" s="9"/>
      <c r="J12" s="9" t="str">
        <f t="shared" si="0"/>
        <v/>
      </c>
      <c r="K12" s="7" t="str">
        <f t="shared" si="1"/>
        <v/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 x14ac:dyDescent="0.25">
      <c r="A13" s="10"/>
      <c r="B13" s="3"/>
      <c r="C13" s="11"/>
      <c r="D13" s="11"/>
      <c r="E13" s="12"/>
      <c r="G13" s="12"/>
      <c r="H13" s="12"/>
      <c r="I13" s="12"/>
      <c r="J13" s="12"/>
      <c r="K13" s="1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3"/>
      <c r="B14" s="3"/>
      <c r="C14" s="13"/>
      <c r="D14" s="13"/>
      <c r="E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3"/>
      <c r="B15" s="3"/>
      <c r="C15" s="13"/>
      <c r="D15" s="1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3"/>
      <c r="B16" s="3"/>
      <c r="C16" s="13"/>
      <c r="D16" s="13"/>
      <c r="E16" s="3"/>
      <c r="F16" s="3"/>
      <c r="G16" s="3"/>
      <c r="H16" s="3"/>
      <c r="I16" s="3"/>
      <c r="J16" s="3"/>
      <c r="K16" s="3"/>
      <c r="L16" s="3"/>
      <c r="M16" s="1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13"/>
      <c r="D17" s="1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13"/>
      <c r="D18" s="1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"/>
      <c r="C19" s="13"/>
      <c r="D19" s="1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13"/>
      <c r="D20" s="1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13"/>
      <c r="D21" s="1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13"/>
      <c r="D22" s="1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13"/>
      <c r="D23" s="1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13"/>
      <c r="D24" s="1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13"/>
      <c r="D25" s="1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13"/>
      <c r="D26" s="1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13"/>
      <c r="D27" s="1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13"/>
      <c r="D28" s="1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13"/>
      <c r="D29" s="1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13"/>
      <c r="D30" s="1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13"/>
      <c r="D31" s="1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13"/>
      <c r="D32" s="1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13"/>
      <c r="D33" s="1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13"/>
      <c r="D34" s="1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13"/>
      <c r="D35" s="1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13"/>
      <c r="D36" s="1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13"/>
      <c r="D37" s="1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13"/>
      <c r="D38" s="1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13"/>
      <c r="D39" s="1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13"/>
      <c r="D40" s="1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13"/>
      <c r="D41" s="1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13"/>
      <c r="D42" s="1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13"/>
      <c r="D43" s="1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13"/>
      <c r="D44" s="1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13"/>
      <c r="D45" s="1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13"/>
      <c r="D46" s="1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13"/>
      <c r="D47" s="1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13"/>
      <c r="D48" s="1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13"/>
      <c r="D49" s="1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13"/>
      <c r="D50" s="1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13"/>
      <c r="D51" s="1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13"/>
      <c r="D52" s="1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13"/>
      <c r="D53" s="1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13"/>
      <c r="D54" s="1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13"/>
      <c r="D55" s="1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13"/>
      <c r="D56" s="1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13"/>
      <c r="D57" s="1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13"/>
      <c r="D58" s="1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13"/>
      <c r="D59" s="1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13"/>
      <c r="D60" s="1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13"/>
      <c r="D61" s="1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13"/>
      <c r="D62" s="1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13"/>
      <c r="D63" s="1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13"/>
      <c r="D64" s="1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13"/>
      <c r="D65" s="1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13"/>
      <c r="D66" s="1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13"/>
      <c r="D67" s="1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13"/>
      <c r="D68" s="1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13"/>
      <c r="D69" s="1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13"/>
      <c r="D70" s="1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13"/>
      <c r="D71" s="1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13"/>
      <c r="D72" s="1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13"/>
      <c r="D73" s="1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13"/>
      <c r="D74" s="1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13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13"/>
      <c r="D76" s="1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13"/>
      <c r="D77" s="1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13"/>
      <c r="D78" s="1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13"/>
      <c r="D79" s="1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13"/>
      <c r="D80" s="1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13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13"/>
      <c r="D82" s="1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13"/>
      <c r="D83" s="1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13"/>
      <c r="D84" s="1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13"/>
      <c r="D85" s="1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13"/>
      <c r="D86" s="1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13"/>
      <c r="D87" s="1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13"/>
      <c r="D88" s="1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13"/>
      <c r="D89" s="1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13"/>
      <c r="D90" s="1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13"/>
      <c r="D91" s="1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13"/>
      <c r="D92" s="1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13"/>
      <c r="D93" s="1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13"/>
      <c r="D94" s="1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13"/>
      <c r="D95" s="1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13"/>
      <c r="D96" s="1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13"/>
      <c r="D97" s="1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13"/>
      <c r="D98" s="1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13"/>
      <c r="D99" s="1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13"/>
      <c r="D100" s="1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13"/>
      <c r="D101" s="1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13"/>
      <c r="D102" s="1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13"/>
      <c r="D103" s="1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13"/>
      <c r="D104" s="1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13"/>
      <c r="D105" s="1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13"/>
      <c r="D106" s="1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13"/>
      <c r="D107" s="1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13"/>
      <c r="D108" s="1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13"/>
      <c r="D109" s="1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13"/>
      <c r="D110" s="1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13"/>
      <c r="D111" s="1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13"/>
      <c r="D112" s="1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13"/>
      <c r="D113" s="1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13"/>
      <c r="D114" s="1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13"/>
      <c r="D115" s="1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13"/>
      <c r="D116" s="1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13"/>
      <c r="D117" s="1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13"/>
      <c r="D118" s="1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13"/>
      <c r="D119" s="1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13"/>
      <c r="D120" s="1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13"/>
      <c r="D121" s="1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13"/>
      <c r="D122" s="1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13"/>
      <c r="D123" s="1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13"/>
      <c r="D124" s="1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13"/>
      <c r="D125" s="1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13"/>
      <c r="D126" s="1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13"/>
      <c r="D127" s="1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13"/>
      <c r="D128" s="1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13"/>
      <c r="D129" s="1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13"/>
      <c r="D130" s="1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13"/>
      <c r="D131" s="1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13"/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13"/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13"/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13"/>
      <c r="D135" s="1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13"/>
      <c r="D136" s="1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13"/>
      <c r="D137" s="1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13"/>
      <c r="D138" s="1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13"/>
      <c r="D139" s="1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13"/>
      <c r="D140" s="1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13"/>
      <c r="D141" s="1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13"/>
      <c r="D142" s="1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13"/>
      <c r="D143" s="1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13"/>
      <c r="D144" s="1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13"/>
      <c r="D145" s="1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13"/>
      <c r="D146" s="1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13"/>
      <c r="D147" s="1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13"/>
      <c r="D148" s="1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13"/>
      <c r="D149" s="1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13"/>
      <c r="D150" s="1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13"/>
      <c r="D151" s="1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13"/>
      <c r="D152" s="1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13"/>
      <c r="D153" s="1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13"/>
      <c r="D154" s="1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13"/>
      <c r="D155" s="1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13"/>
      <c r="D156" s="1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13"/>
      <c r="D157" s="1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13"/>
      <c r="D158" s="1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13"/>
      <c r="D159" s="1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13"/>
      <c r="D160" s="1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13"/>
      <c r="D161" s="1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13"/>
      <c r="D162" s="1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13"/>
      <c r="D163" s="1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13"/>
      <c r="D164" s="1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13"/>
      <c r="D165" s="1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13"/>
      <c r="D166" s="1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13"/>
      <c r="D167" s="1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13"/>
      <c r="D168" s="1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13"/>
      <c r="D169" s="1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13"/>
      <c r="D170" s="1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13"/>
      <c r="D171" s="1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13"/>
      <c r="D172" s="1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13"/>
      <c r="D173" s="1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13"/>
      <c r="D174" s="1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13"/>
      <c r="D175" s="1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13"/>
      <c r="D176" s="1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13"/>
      <c r="D177" s="1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13"/>
      <c r="D178" s="1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13"/>
      <c r="D179" s="1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13"/>
      <c r="D180" s="1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13"/>
      <c r="D181" s="1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13"/>
      <c r="D182" s="1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13"/>
      <c r="D183" s="1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13"/>
      <c r="D184" s="1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13"/>
      <c r="D185" s="1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13"/>
      <c r="D186" s="1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13"/>
      <c r="D187" s="1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13"/>
      <c r="D188" s="1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13"/>
      <c r="D189" s="1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13"/>
      <c r="D190" s="1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13"/>
      <c r="D191" s="1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13"/>
      <c r="D192" s="1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13"/>
      <c r="D193" s="1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13"/>
      <c r="D194" s="1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13"/>
      <c r="D195" s="1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13"/>
      <c r="D196" s="1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13"/>
      <c r="D197" s="1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13"/>
      <c r="D198" s="1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13"/>
      <c r="D199" s="1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13"/>
      <c r="D200" s="1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13"/>
      <c r="D201" s="1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13"/>
      <c r="D202" s="1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13"/>
      <c r="D203" s="1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13"/>
      <c r="D204" s="1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13"/>
      <c r="D205" s="1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13"/>
      <c r="D206" s="1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13"/>
      <c r="D207" s="1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13"/>
      <c r="D208" s="1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13"/>
      <c r="D209" s="1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13"/>
      <c r="D210" s="1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13"/>
      <c r="D211" s="1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13"/>
      <c r="D212" s="1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13"/>
      <c r="D213" s="1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13"/>
      <c r="D214" s="1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13"/>
      <c r="D215" s="1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13"/>
      <c r="D216" s="1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13"/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13"/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13"/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13"/>
      <c r="D220" s="1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13"/>
      <c r="D221" s="1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13"/>
      <c r="D222" s="1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13"/>
      <c r="D223" s="1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13"/>
      <c r="D224" s="1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13"/>
      <c r="D225" s="1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13"/>
      <c r="D226" s="1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13"/>
      <c r="D227" s="1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13"/>
      <c r="D228" s="1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13"/>
      <c r="D229" s="1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13"/>
      <c r="D230" s="1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13"/>
      <c r="D231" s="1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13"/>
      <c r="D232" s="1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13"/>
      <c r="D233" s="1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13"/>
      <c r="D234" s="1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13"/>
      <c r="D235" s="1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13"/>
      <c r="D236" s="1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13"/>
      <c r="D237" s="1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13"/>
      <c r="D238" s="1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13"/>
      <c r="D239" s="1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13"/>
      <c r="D240" s="1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13"/>
      <c r="D241" s="1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13"/>
      <c r="D242" s="1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13"/>
      <c r="D243" s="1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13"/>
      <c r="D244" s="1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13"/>
      <c r="D245" s="1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13"/>
      <c r="D246" s="1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13"/>
      <c r="D247" s="1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13"/>
      <c r="D248" s="1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13"/>
      <c r="D249" s="1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13"/>
      <c r="D250" s="1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13"/>
      <c r="D251" s="1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13"/>
      <c r="D252" s="1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13"/>
      <c r="D253" s="1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13"/>
      <c r="D254" s="1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13"/>
      <c r="D255" s="1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13"/>
      <c r="D256" s="1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13"/>
      <c r="D257" s="1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13"/>
      <c r="D258" s="1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13"/>
      <c r="D259" s="1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13"/>
      <c r="D260" s="1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13"/>
      <c r="D261" s="1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13"/>
      <c r="D262" s="1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13"/>
      <c r="D263" s="1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13"/>
      <c r="D264" s="1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13"/>
      <c r="D265" s="1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13"/>
      <c r="D266" s="1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13"/>
      <c r="D267" s="1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13"/>
      <c r="D268" s="1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13"/>
      <c r="D269" s="1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13"/>
      <c r="D270" s="1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13"/>
      <c r="D271" s="1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13"/>
      <c r="D272" s="1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13"/>
      <c r="D273" s="1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13"/>
      <c r="D274" s="1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13"/>
      <c r="D275" s="1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13"/>
      <c r="D276" s="1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13"/>
      <c r="D277" s="1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13"/>
      <c r="D278" s="1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13"/>
      <c r="D279" s="1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13"/>
      <c r="D280" s="1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13"/>
      <c r="D281" s="1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13"/>
      <c r="D282" s="1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13"/>
      <c r="D283" s="1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13"/>
      <c r="D284" s="1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13"/>
      <c r="D285" s="1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13"/>
      <c r="D286" s="1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13"/>
      <c r="D287" s="1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13"/>
      <c r="D288" s="1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13"/>
      <c r="D289" s="1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13"/>
      <c r="D290" s="1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13"/>
      <c r="D291" s="1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13"/>
      <c r="D292" s="1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13"/>
      <c r="D293" s="1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13"/>
      <c r="D294" s="1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13"/>
      <c r="D295" s="1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13"/>
      <c r="D296" s="1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13"/>
      <c r="D297" s="1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13"/>
      <c r="D298" s="1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13"/>
      <c r="D299" s="1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13"/>
      <c r="D300" s="1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13"/>
      <c r="D301" s="1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13"/>
      <c r="D302" s="1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13"/>
      <c r="D303" s="1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13"/>
      <c r="D304" s="1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13"/>
      <c r="D305" s="1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13"/>
      <c r="D306" s="1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13"/>
      <c r="D307" s="1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13"/>
      <c r="D308" s="1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13"/>
      <c r="D309" s="1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13"/>
      <c r="D310" s="1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13"/>
      <c r="D311" s="1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13"/>
      <c r="D312" s="1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13"/>
      <c r="D313" s="1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13"/>
      <c r="D314" s="1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13"/>
      <c r="D315" s="1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13"/>
      <c r="D316" s="1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13"/>
      <c r="D317" s="1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13"/>
      <c r="D318" s="1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13"/>
      <c r="D319" s="1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13"/>
      <c r="D320" s="1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13"/>
      <c r="D321" s="1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13"/>
      <c r="D322" s="1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13"/>
      <c r="D323" s="1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13"/>
      <c r="D324" s="1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13"/>
      <c r="D325" s="1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13"/>
      <c r="D326" s="1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13"/>
      <c r="D327" s="1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13"/>
      <c r="D328" s="1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13"/>
      <c r="D329" s="1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13"/>
      <c r="D330" s="1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13"/>
      <c r="D331" s="1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13"/>
      <c r="D332" s="1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13"/>
      <c r="D333" s="1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13"/>
      <c r="D334" s="1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13"/>
      <c r="D335" s="1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13"/>
      <c r="D336" s="1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13"/>
      <c r="D337" s="1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13"/>
      <c r="D338" s="1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13"/>
      <c r="D339" s="1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13"/>
      <c r="D340" s="1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13"/>
      <c r="D341" s="1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13"/>
      <c r="D342" s="1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13"/>
      <c r="D343" s="1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13"/>
      <c r="D344" s="1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13"/>
      <c r="D345" s="1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13"/>
      <c r="D346" s="1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13"/>
      <c r="D347" s="1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13"/>
      <c r="D348" s="1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13"/>
      <c r="D349" s="1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13"/>
      <c r="D350" s="1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13"/>
      <c r="D351" s="1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13"/>
      <c r="D352" s="1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13"/>
      <c r="D353" s="1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13"/>
      <c r="D354" s="1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13"/>
      <c r="D355" s="1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13"/>
      <c r="D356" s="1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13"/>
      <c r="D357" s="1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13"/>
      <c r="D358" s="1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13"/>
      <c r="D359" s="1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13"/>
      <c r="D360" s="1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13"/>
      <c r="D361" s="1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13"/>
      <c r="D362" s="1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13"/>
      <c r="D363" s="1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13"/>
      <c r="D364" s="1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13"/>
      <c r="D365" s="1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13"/>
      <c r="D366" s="1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13"/>
      <c r="D367" s="1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13"/>
      <c r="D368" s="1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13"/>
      <c r="D369" s="1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13"/>
      <c r="D370" s="1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13"/>
      <c r="D371" s="1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13"/>
      <c r="D372" s="1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13"/>
      <c r="D373" s="1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13"/>
      <c r="D374" s="1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13"/>
      <c r="D375" s="1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13"/>
      <c r="D376" s="1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13"/>
      <c r="D377" s="1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13"/>
      <c r="D378" s="1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13"/>
      <c r="D379" s="1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13"/>
      <c r="D380" s="1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13"/>
      <c r="D381" s="1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13"/>
      <c r="D382" s="1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13"/>
      <c r="D383" s="1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13"/>
      <c r="D384" s="1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13"/>
      <c r="D385" s="1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13"/>
      <c r="D386" s="1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13"/>
      <c r="D387" s="1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13"/>
      <c r="D388" s="1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13"/>
      <c r="D389" s="1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13"/>
      <c r="D390" s="1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13"/>
      <c r="D391" s="1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13"/>
      <c r="D392" s="1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13"/>
      <c r="D393" s="1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13"/>
      <c r="D394" s="1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13"/>
      <c r="D395" s="1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13"/>
      <c r="D396" s="1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13"/>
      <c r="D397" s="1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13"/>
      <c r="D398" s="1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13"/>
      <c r="D399" s="1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13"/>
      <c r="D400" s="1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13"/>
      <c r="D401" s="1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13"/>
      <c r="D402" s="1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13"/>
      <c r="D403" s="1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13"/>
      <c r="D404" s="1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13"/>
      <c r="D405" s="1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13"/>
      <c r="D406" s="1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13"/>
      <c r="D407" s="1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13"/>
      <c r="D408" s="1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13"/>
      <c r="D409" s="1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13"/>
      <c r="D410" s="1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13"/>
      <c r="D411" s="1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13"/>
      <c r="D412" s="1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13"/>
      <c r="D413" s="1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13"/>
      <c r="D414" s="1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13"/>
      <c r="D415" s="1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13"/>
      <c r="D416" s="1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13"/>
      <c r="D417" s="1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13"/>
      <c r="D418" s="1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13"/>
      <c r="D419" s="1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13"/>
      <c r="D420" s="1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13"/>
      <c r="D421" s="1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13"/>
      <c r="D422" s="1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13"/>
      <c r="D423" s="1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13"/>
      <c r="D424" s="1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13"/>
      <c r="D425" s="1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13"/>
      <c r="D426" s="1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13"/>
      <c r="D427" s="1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13"/>
      <c r="D428" s="1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13"/>
      <c r="D429" s="1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13"/>
      <c r="D430" s="1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13"/>
      <c r="D431" s="1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13"/>
      <c r="D432" s="1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13"/>
      <c r="D433" s="1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13"/>
      <c r="D434" s="1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13"/>
      <c r="D435" s="1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13"/>
      <c r="D436" s="1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13"/>
      <c r="D437" s="1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13"/>
      <c r="D438" s="1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13"/>
      <c r="D439" s="1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13"/>
      <c r="D440" s="1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13"/>
      <c r="D441" s="1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13"/>
      <c r="D442" s="1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13"/>
      <c r="D443" s="1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13"/>
      <c r="D444" s="1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13"/>
      <c r="D445" s="1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13"/>
      <c r="D446" s="1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13"/>
      <c r="D447" s="1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13"/>
      <c r="D448" s="1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13"/>
      <c r="D449" s="1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13"/>
      <c r="D450" s="1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13"/>
      <c r="D451" s="1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13"/>
      <c r="D452" s="1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13"/>
      <c r="D453" s="1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13"/>
      <c r="D454" s="1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13"/>
      <c r="D455" s="1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13"/>
      <c r="D456" s="1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13"/>
      <c r="D457" s="1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13"/>
      <c r="D458" s="1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13"/>
      <c r="D459" s="1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13"/>
      <c r="D460" s="1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13"/>
      <c r="D461" s="1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13"/>
      <c r="D462" s="1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13"/>
      <c r="D463" s="1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13"/>
      <c r="D464" s="1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13"/>
      <c r="D465" s="1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13"/>
      <c r="D466" s="1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13"/>
      <c r="D467" s="1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13"/>
      <c r="D468" s="1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13"/>
      <c r="D469" s="1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13"/>
      <c r="D470" s="1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13"/>
      <c r="D471" s="1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13"/>
      <c r="D472" s="1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13"/>
      <c r="D473" s="1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13"/>
      <c r="D474" s="1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13"/>
      <c r="D475" s="1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13"/>
      <c r="D476" s="1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13"/>
      <c r="D477" s="1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13"/>
      <c r="D478" s="1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13"/>
      <c r="D479" s="1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13"/>
      <c r="D480" s="1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13"/>
      <c r="D481" s="1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13"/>
      <c r="D482" s="1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13"/>
      <c r="D483" s="1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13"/>
      <c r="D484" s="1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13"/>
      <c r="D485" s="1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13"/>
      <c r="D486" s="1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13"/>
      <c r="D487" s="1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13"/>
      <c r="D488" s="1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13"/>
      <c r="D489" s="1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13"/>
      <c r="D490" s="1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13"/>
      <c r="D491" s="1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13"/>
      <c r="D492" s="1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13"/>
      <c r="D493" s="1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13"/>
      <c r="D494" s="1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13"/>
      <c r="D495" s="1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13"/>
      <c r="D496" s="1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13"/>
      <c r="D497" s="1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13"/>
      <c r="D498" s="1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13"/>
      <c r="D499" s="1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13"/>
      <c r="D500" s="1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13"/>
      <c r="D501" s="1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13"/>
      <c r="D502" s="1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13"/>
      <c r="D503" s="1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13"/>
      <c r="D504" s="1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13"/>
      <c r="D505" s="1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13"/>
      <c r="D506" s="1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13"/>
      <c r="D507" s="1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13"/>
      <c r="D508" s="1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13"/>
      <c r="D509" s="1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13"/>
      <c r="D510" s="1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13"/>
      <c r="D511" s="1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13"/>
      <c r="D512" s="1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13"/>
      <c r="D513" s="1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13"/>
      <c r="D514" s="1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13"/>
      <c r="D515" s="1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13"/>
      <c r="D516" s="1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13"/>
      <c r="D517" s="1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13"/>
      <c r="D518" s="1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13"/>
      <c r="D519" s="1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13"/>
      <c r="D520" s="1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13"/>
      <c r="D521" s="1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13"/>
      <c r="D522" s="1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13"/>
      <c r="D523" s="1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13"/>
      <c r="D524" s="1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13"/>
      <c r="D525" s="1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13"/>
      <c r="D526" s="1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13"/>
      <c r="D527" s="1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13"/>
      <c r="D528" s="1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13"/>
      <c r="D529" s="1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13"/>
      <c r="D530" s="1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13"/>
      <c r="D531" s="1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13"/>
      <c r="D532" s="1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13"/>
      <c r="D533" s="1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13"/>
      <c r="D534" s="1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13"/>
      <c r="D535" s="1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13"/>
      <c r="D536" s="1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13"/>
      <c r="D537" s="1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13"/>
      <c r="D538" s="1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13"/>
      <c r="D539" s="1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13"/>
      <c r="D540" s="1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13"/>
      <c r="D541" s="1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13"/>
      <c r="D542" s="1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13"/>
      <c r="D543" s="1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13"/>
      <c r="D544" s="1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13"/>
      <c r="D545" s="1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13"/>
      <c r="D546" s="1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13"/>
      <c r="D547" s="1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13"/>
      <c r="D548" s="1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13"/>
      <c r="D549" s="1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13"/>
      <c r="D550" s="1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13"/>
      <c r="D551" s="1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13"/>
      <c r="D552" s="1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13"/>
      <c r="D553" s="1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13"/>
      <c r="D554" s="1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13"/>
      <c r="D555" s="1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13"/>
      <c r="D556" s="1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13"/>
      <c r="D557" s="1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13"/>
      <c r="D558" s="1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13"/>
      <c r="D559" s="1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13"/>
      <c r="D560" s="1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13"/>
      <c r="D561" s="1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13"/>
      <c r="D562" s="1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13"/>
      <c r="D563" s="1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13"/>
      <c r="D564" s="1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13"/>
      <c r="D565" s="1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13"/>
      <c r="D566" s="1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13"/>
      <c r="D567" s="1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13"/>
      <c r="D568" s="1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13"/>
      <c r="D569" s="1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13"/>
      <c r="D570" s="1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13"/>
      <c r="D571" s="1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13"/>
      <c r="D572" s="1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13"/>
      <c r="D573" s="1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13"/>
      <c r="D574" s="1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13"/>
      <c r="D575" s="1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13"/>
      <c r="D576" s="1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13"/>
      <c r="D577" s="1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13"/>
      <c r="D578" s="1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13"/>
      <c r="D579" s="1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13"/>
      <c r="D580" s="1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13"/>
      <c r="D581" s="1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13"/>
      <c r="D582" s="1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13"/>
      <c r="D583" s="1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13"/>
      <c r="D584" s="1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13"/>
      <c r="D585" s="1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13"/>
      <c r="D586" s="1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13"/>
      <c r="D587" s="1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13"/>
      <c r="D588" s="1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13"/>
      <c r="D589" s="1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13"/>
      <c r="D590" s="1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13"/>
      <c r="D591" s="1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13"/>
      <c r="D592" s="1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13"/>
      <c r="D593" s="1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13"/>
      <c r="D594" s="1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13"/>
      <c r="D595" s="1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13"/>
      <c r="D596" s="1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13"/>
      <c r="D597" s="1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13"/>
      <c r="D598" s="1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13"/>
      <c r="D599" s="1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13"/>
      <c r="D600" s="1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13"/>
      <c r="D601" s="1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13"/>
      <c r="D602" s="1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13"/>
      <c r="D603" s="1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13"/>
      <c r="D604" s="1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13"/>
      <c r="D605" s="1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13"/>
      <c r="D606" s="1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13"/>
      <c r="D607" s="1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13"/>
      <c r="D608" s="1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13"/>
      <c r="D609" s="1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13"/>
      <c r="D610" s="1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13"/>
      <c r="D611" s="1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13"/>
      <c r="D612" s="1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13"/>
      <c r="D613" s="1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13"/>
      <c r="D614" s="1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13"/>
      <c r="D615" s="1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13"/>
      <c r="D616" s="1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13"/>
      <c r="D617" s="1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13"/>
      <c r="D618" s="1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13"/>
      <c r="D619" s="1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13"/>
      <c r="D620" s="1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13"/>
      <c r="D621" s="1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13"/>
      <c r="D622" s="1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13"/>
      <c r="D623" s="1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13"/>
      <c r="D624" s="1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13"/>
      <c r="D625" s="1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13"/>
      <c r="D626" s="1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13"/>
      <c r="D627" s="1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13"/>
      <c r="D628" s="1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13"/>
      <c r="D629" s="1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13"/>
      <c r="D630" s="1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13"/>
      <c r="D631" s="1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13"/>
      <c r="D632" s="1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13"/>
      <c r="D633" s="1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13"/>
      <c r="D634" s="1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13"/>
      <c r="D635" s="1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13"/>
      <c r="D636" s="1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13"/>
      <c r="D637" s="1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13"/>
      <c r="D638" s="1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13"/>
      <c r="D639" s="1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13"/>
      <c r="D640" s="1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13"/>
      <c r="D641" s="1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13"/>
      <c r="D642" s="1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13"/>
      <c r="D643" s="1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13"/>
      <c r="D644" s="1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13"/>
      <c r="D645" s="1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13"/>
      <c r="D646" s="1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13"/>
      <c r="D647" s="1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13"/>
      <c r="D648" s="1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13"/>
      <c r="D649" s="1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13"/>
      <c r="D650" s="1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13"/>
      <c r="D651" s="1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13"/>
      <c r="D652" s="1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13"/>
      <c r="D653" s="1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13"/>
      <c r="D654" s="1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13"/>
      <c r="D655" s="1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13"/>
      <c r="D656" s="1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13"/>
      <c r="D657" s="1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13"/>
      <c r="D658" s="1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13"/>
      <c r="D659" s="1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13"/>
      <c r="D660" s="1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13"/>
      <c r="D661" s="1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13"/>
      <c r="D662" s="1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13"/>
      <c r="D663" s="1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13"/>
      <c r="D664" s="1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13"/>
      <c r="D665" s="1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13"/>
      <c r="D666" s="1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13"/>
      <c r="D667" s="1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13"/>
      <c r="D668" s="1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13"/>
      <c r="D669" s="1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13"/>
      <c r="D670" s="1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13"/>
      <c r="D671" s="1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13"/>
      <c r="D672" s="1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13"/>
      <c r="D673" s="1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13"/>
      <c r="D674" s="1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13"/>
      <c r="D675" s="1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13"/>
      <c r="D676" s="1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13"/>
      <c r="D677" s="1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13"/>
      <c r="D678" s="1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13"/>
      <c r="D679" s="1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13"/>
      <c r="D680" s="1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13"/>
      <c r="D681" s="1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13"/>
      <c r="D682" s="1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13"/>
      <c r="D683" s="1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13"/>
      <c r="D684" s="1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13"/>
      <c r="D685" s="1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13"/>
      <c r="D686" s="1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13"/>
      <c r="D687" s="1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13"/>
      <c r="D688" s="1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13"/>
      <c r="D689" s="1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13"/>
      <c r="D690" s="1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13"/>
      <c r="D691" s="1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13"/>
      <c r="D692" s="1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13"/>
      <c r="D693" s="1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13"/>
      <c r="D694" s="1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13"/>
      <c r="D695" s="1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13"/>
      <c r="D696" s="1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13"/>
      <c r="D697" s="1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13"/>
      <c r="D698" s="1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13"/>
      <c r="D699" s="1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13"/>
      <c r="D700" s="1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13"/>
      <c r="D701" s="1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13"/>
      <c r="D702" s="1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13"/>
      <c r="D703" s="1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13"/>
      <c r="D704" s="1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13"/>
      <c r="D705" s="1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13"/>
      <c r="D706" s="1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13"/>
      <c r="D707" s="1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13"/>
      <c r="D708" s="1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13"/>
      <c r="D709" s="1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13"/>
      <c r="D710" s="1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13"/>
      <c r="D711" s="1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13"/>
      <c r="D712" s="1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13"/>
      <c r="D713" s="1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13"/>
      <c r="D714" s="1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13"/>
      <c r="D715" s="1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13"/>
      <c r="D716" s="1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13"/>
      <c r="D717" s="1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13"/>
      <c r="D718" s="1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13"/>
      <c r="D719" s="1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13"/>
      <c r="D720" s="1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13"/>
      <c r="D721" s="1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13"/>
      <c r="D722" s="1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13"/>
      <c r="D723" s="1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13"/>
      <c r="D724" s="1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13"/>
      <c r="D725" s="1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13"/>
      <c r="D726" s="1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13"/>
      <c r="D727" s="1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13"/>
      <c r="D728" s="1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13"/>
      <c r="D729" s="1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13"/>
      <c r="D730" s="1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13"/>
      <c r="D731" s="1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13"/>
      <c r="D732" s="1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13"/>
      <c r="D733" s="1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13"/>
      <c r="D734" s="1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13"/>
      <c r="D735" s="1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13"/>
      <c r="D736" s="1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13"/>
      <c r="D737" s="1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13"/>
      <c r="D738" s="1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13"/>
      <c r="D739" s="1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13"/>
      <c r="D740" s="1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13"/>
      <c r="D741" s="1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13"/>
      <c r="D742" s="1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13"/>
      <c r="D743" s="1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13"/>
      <c r="D744" s="1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13"/>
      <c r="D745" s="1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13"/>
      <c r="D746" s="1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13"/>
      <c r="D747" s="1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13"/>
      <c r="D748" s="1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13"/>
      <c r="D749" s="1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13"/>
      <c r="D750" s="1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13"/>
      <c r="D751" s="1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13"/>
      <c r="D752" s="1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13"/>
      <c r="D753" s="1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13"/>
      <c r="D754" s="1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13"/>
      <c r="D755" s="1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13"/>
      <c r="D756" s="1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13"/>
      <c r="D757" s="1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13"/>
      <c r="D758" s="1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13"/>
      <c r="D759" s="1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13"/>
      <c r="D760" s="1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13"/>
      <c r="D761" s="1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13"/>
      <c r="D762" s="1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13"/>
      <c r="D763" s="1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13"/>
      <c r="D764" s="1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13"/>
      <c r="D765" s="1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13"/>
      <c r="D766" s="1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13"/>
      <c r="D767" s="1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13"/>
      <c r="D768" s="1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13"/>
      <c r="D769" s="1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13"/>
      <c r="D770" s="1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13"/>
      <c r="D771" s="1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13"/>
      <c r="D772" s="1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13"/>
      <c r="D773" s="1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13"/>
      <c r="D774" s="1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13"/>
      <c r="D775" s="1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13"/>
      <c r="D776" s="1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13"/>
      <c r="D777" s="1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13"/>
      <c r="D778" s="1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13"/>
      <c r="D779" s="1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13"/>
      <c r="D780" s="1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13"/>
      <c r="D781" s="1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13"/>
      <c r="D782" s="1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13"/>
      <c r="D783" s="1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13"/>
      <c r="D784" s="1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13"/>
      <c r="D785" s="1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13"/>
      <c r="D786" s="1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13"/>
      <c r="D787" s="1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13"/>
      <c r="D788" s="1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13"/>
      <c r="D789" s="1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13"/>
      <c r="D790" s="1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13"/>
      <c r="D791" s="1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13"/>
      <c r="D792" s="1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13"/>
      <c r="D793" s="1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13"/>
      <c r="D794" s="1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13"/>
      <c r="D795" s="1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13"/>
      <c r="D796" s="1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13"/>
      <c r="D797" s="1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13"/>
      <c r="D798" s="1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13"/>
      <c r="D799" s="1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13"/>
      <c r="D800" s="1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13"/>
      <c r="D801" s="1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13"/>
      <c r="D802" s="1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13"/>
      <c r="D803" s="1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13"/>
      <c r="D804" s="1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13"/>
      <c r="D805" s="1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13"/>
      <c r="D806" s="1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13"/>
      <c r="D807" s="1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13"/>
      <c r="D808" s="1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13"/>
      <c r="D809" s="1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13"/>
      <c r="D810" s="1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13"/>
      <c r="D811" s="1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13"/>
      <c r="D812" s="1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13"/>
      <c r="D813" s="1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13"/>
      <c r="D814" s="1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13"/>
      <c r="D815" s="1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13"/>
      <c r="D816" s="1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13"/>
      <c r="D817" s="1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13"/>
      <c r="D818" s="1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13"/>
      <c r="D819" s="1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13"/>
      <c r="D820" s="1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13"/>
      <c r="D821" s="1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13"/>
      <c r="D822" s="1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13"/>
      <c r="D823" s="1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13"/>
      <c r="D824" s="1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13"/>
      <c r="D825" s="1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13"/>
      <c r="D826" s="1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13"/>
      <c r="D827" s="1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13"/>
      <c r="D828" s="1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13"/>
      <c r="D829" s="1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13"/>
      <c r="D830" s="1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13"/>
      <c r="D831" s="1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13"/>
      <c r="D832" s="1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13"/>
      <c r="D833" s="1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13"/>
      <c r="D834" s="1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13"/>
      <c r="D835" s="1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13"/>
      <c r="D836" s="1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13"/>
      <c r="D837" s="1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13"/>
      <c r="D838" s="1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13"/>
      <c r="D839" s="1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13"/>
      <c r="D840" s="1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13"/>
      <c r="D841" s="1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13"/>
      <c r="D842" s="1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13"/>
      <c r="D843" s="1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13"/>
      <c r="D844" s="1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13"/>
      <c r="D845" s="1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13"/>
      <c r="D846" s="1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13"/>
      <c r="D847" s="1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13"/>
      <c r="D848" s="1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13"/>
      <c r="D849" s="1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13"/>
      <c r="D850" s="1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13"/>
      <c r="D851" s="1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13"/>
      <c r="D852" s="1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13"/>
      <c r="D853" s="1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13"/>
      <c r="D854" s="1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13"/>
      <c r="D855" s="1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13"/>
      <c r="D856" s="1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13"/>
      <c r="D857" s="1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13"/>
      <c r="D858" s="1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13"/>
      <c r="D859" s="1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13"/>
      <c r="D860" s="1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13"/>
      <c r="D861" s="1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13"/>
      <c r="D862" s="1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13"/>
      <c r="D863" s="1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13"/>
      <c r="D864" s="1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13"/>
      <c r="D865" s="1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13"/>
      <c r="D866" s="1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13"/>
      <c r="D867" s="1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13"/>
      <c r="D868" s="1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13"/>
      <c r="D869" s="1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13"/>
      <c r="D870" s="1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13"/>
      <c r="D871" s="1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13"/>
      <c r="D872" s="1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13"/>
      <c r="D873" s="1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13"/>
      <c r="D874" s="1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13"/>
      <c r="D875" s="1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13"/>
      <c r="D876" s="1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13"/>
      <c r="D877" s="1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13"/>
      <c r="D878" s="1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13"/>
      <c r="D879" s="1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13"/>
      <c r="D880" s="1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13"/>
      <c r="D881" s="1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13"/>
      <c r="D882" s="1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13"/>
      <c r="D883" s="1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13"/>
      <c r="D884" s="1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13"/>
      <c r="D885" s="1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13"/>
      <c r="D886" s="1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13"/>
      <c r="D887" s="1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13"/>
      <c r="D888" s="1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13"/>
      <c r="D889" s="1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13"/>
      <c r="D890" s="1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13"/>
      <c r="D891" s="1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13"/>
      <c r="D892" s="1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13"/>
      <c r="D893" s="1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13"/>
      <c r="D894" s="1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13"/>
      <c r="D895" s="1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13"/>
      <c r="D896" s="1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13"/>
      <c r="D897" s="1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13"/>
      <c r="D898" s="1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13"/>
      <c r="D899" s="1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13"/>
      <c r="D900" s="1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13"/>
      <c r="D901" s="1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13"/>
      <c r="D902" s="1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13"/>
      <c r="D903" s="1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13"/>
      <c r="D904" s="1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13"/>
      <c r="D905" s="1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13"/>
      <c r="D906" s="1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13"/>
      <c r="D907" s="1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13"/>
      <c r="D908" s="1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13"/>
      <c r="D909" s="1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13"/>
      <c r="D910" s="1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13"/>
      <c r="D911" s="1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13"/>
      <c r="D912" s="1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13"/>
      <c r="D913" s="1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13"/>
      <c r="D914" s="1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13"/>
      <c r="D915" s="1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13"/>
      <c r="D916" s="1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13"/>
      <c r="D917" s="1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13"/>
      <c r="D918" s="1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13"/>
      <c r="D919" s="1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13"/>
      <c r="D920" s="1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13"/>
      <c r="D921" s="1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13"/>
      <c r="D922" s="1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13"/>
      <c r="D923" s="1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13"/>
      <c r="D924" s="1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13"/>
      <c r="D925" s="1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13"/>
      <c r="D926" s="1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13"/>
      <c r="D927" s="1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13"/>
      <c r="D928" s="1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13"/>
      <c r="D929" s="1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13"/>
      <c r="D930" s="1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13"/>
      <c r="D931" s="1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13"/>
      <c r="D932" s="1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13"/>
      <c r="D933" s="1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13"/>
      <c r="D934" s="1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13"/>
      <c r="D935" s="1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13"/>
      <c r="D936" s="1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13"/>
      <c r="D937" s="1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13"/>
      <c r="D938" s="1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13"/>
      <c r="D939" s="1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13"/>
      <c r="D940" s="1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13"/>
      <c r="D941" s="1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13"/>
      <c r="D942" s="1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13"/>
      <c r="D943" s="1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13"/>
      <c r="D944" s="1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13"/>
      <c r="D945" s="1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13"/>
      <c r="D946" s="1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13"/>
      <c r="D947" s="1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13"/>
      <c r="D948" s="1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13"/>
      <c r="D949" s="1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13"/>
      <c r="D950" s="1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13"/>
      <c r="D951" s="1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13"/>
      <c r="D952" s="1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13"/>
      <c r="D953" s="1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13"/>
      <c r="D954" s="1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13"/>
      <c r="D955" s="1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13"/>
      <c r="D956" s="1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13"/>
      <c r="D957" s="1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13"/>
      <c r="D958" s="1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13"/>
      <c r="D959" s="1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13"/>
      <c r="D960" s="1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13"/>
      <c r="D961" s="1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13"/>
      <c r="D962" s="1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13"/>
      <c r="D963" s="1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13"/>
      <c r="D964" s="1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13"/>
      <c r="D965" s="1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13"/>
      <c r="D966" s="1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13"/>
      <c r="D967" s="1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13"/>
      <c r="D968" s="1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13"/>
      <c r="D969" s="1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13"/>
      <c r="D970" s="1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13"/>
      <c r="D971" s="1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13"/>
      <c r="D972" s="1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13"/>
      <c r="D973" s="1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13"/>
      <c r="D974" s="1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13"/>
      <c r="D975" s="1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13"/>
      <c r="D976" s="1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13"/>
      <c r="D977" s="1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13"/>
      <c r="D978" s="1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13"/>
      <c r="D979" s="1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13"/>
      <c r="D980" s="1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13"/>
      <c r="D981" s="1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13"/>
      <c r="D982" s="1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13"/>
      <c r="D983" s="1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13"/>
      <c r="D984" s="1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13"/>
      <c r="D985" s="1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13"/>
      <c r="D986" s="1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13"/>
      <c r="D987" s="1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13"/>
      <c r="D988" s="1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13"/>
      <c r="D989" s="1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13"/>
      <c r="D990" s="1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13"/>
      <c r="D991" s="1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13"/>
      <c r="D992" s="1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13"/>
      <c r="D993" s="1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13"/>
      <c r="D994" s="1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13"/>
      <c r="D995" s="1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13"/>
      <c r="D996" s="1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13"/>
      <c r="D997" s="1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13"/>
      <c r="D998" s="1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13"/>
      <c r="D999" s="1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13"/>
      <c r="D1000" s="1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2">
    <dataValidation type="list" allowBlank="1" showErrorMessage="1" sqref="A2:A12" xr:uid="{00000000-0002-0000-0000-000000000000}">
      <formula1>"AS-IS,TO-BE"</formula1>
    </dataValidation>
    <dataValidation type="list" allowBlank="1" showErrorMessage="1" sqref="E2:E12" xr:uid="{00000000-0002-0000-0000-000001000000}">
      <formula1>"SÍ,NO"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 Pierre Londoño Gonzalez</cp:lastModifiedBy>
  <dcterms:modified xsi:type="dcterms:W3CDTF">2025-11-22T20:07:41Z</dcterms:modified>
</cp:coreProperties>
</file>