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2ea08cfefb535b/Documents/AI_MASTER/Proyecto_III_de_innovación_tecnologica_en_IA/proyecto_final_mia/files-example/"/>
    </mc:Choice>
  </mc:AlternateContent>
  <xr:revisionPtr revIDLastSave="13" documentId="11_80702AC9413F0F127BE07DF7D72A10E56E822426" xr6:coauthVersionLast="47" xr6:coauthVersionMax="47" xr10:uidLastSave="{D6BB36F8-91A7-4A0A-8823-77DD60C41189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<sst xmlns="http://schemas.openxmlformats.org/spreadsheetml/2006/main" count="176" uniqueCount="57">
  <si>
    <t>Estado Actividad</t>
  </si>
  <si>
    <t>Actividad</t>
  </si>
  <si>
    <t>Descripción</t>
  </si>
  <si>
    <t>AS-IS</t>
  </si>
  <si>
    <t>NO</t>
  </si>
  <si>
    <t>Cargo que ejecuta la tarea</t>
  </si>
  <si>
    <t>Tarea Automatizada</t>
  </si>
  <si>
    <t>No. Colaboradores que ejecutan la tarea</t>
  </si>
  <si>
    <t>Volumen Promedio Mensual</t>
  </si>
  <si>
    <t>Tiempo Menor</t>
  </si>
  <si>
    <t>Tiempo Mayor</t>
  </si>
  <si>
    <t>Tiempo Promedio</t>
  </si>
  <si>
    <t>Tiempo Estándar (Min/Tarea)</t>
  </si>
  <si>
    <t>Verificación de requisitos</t>
  </si>
  <si>
    <t>Recibir correo del prestador con Hoja de Vida, Portafolio de servicios o solicitud de actualización de tarifas.</t>
  </si>
  <si>
    <t>Analista o Auxiliar de convenio Medicos</t>
  </si>
  <si>
    <t>Responder correo confirmando el recibido de la propuesta.</t>
  </si>
  <si>
    <t>Elaborar presentación para comité prevalidador, tomando información de Hojas de Vida y Portafolios.</t>
  </si>
  <si>
    <t>Enviar correo de propuesta no considerada o considerada.</t>
  </si>
  <si>
    <t>Enviar correo solicitando documentación.</t>
  </si>
  <si>
    <t>Diligenciar formato solicitando visita de calidad a Auditoria Médica de Calidad, vía correo electrónico o nexos.</t>
  </si>
  <si>
    <t>Copiar documento y nombre del prestador para realizar validación de Camara de Comercio, en aplicativo GIS, para el Sar-LAF.</t>
  </si>
  <si>
    <t>SÍ</t>
  </si>
  <si>
    <t>Revisar resultado de Sar-LAF- En caso de coincidencia, subir soportes.</t>
  </si>
  <si>
    <t>Solicitar al prestador diligenciar formato autorización consignación Cuenta Bancaria.</t>
  </si>
  <si>
    <t>Diligenciamiento de Acuerdo de Servicios con tarifas, para las firmas.</t>
  </si>
  <si>
    <t>Solicitar al prestador información de contacto, datos contables y tarifas ofertadas.</t>
  </si>
  <si>
    <t>Revisar, hacer comparativos de tarifas de servicios ofertados.</t>
  </si>
  <si>
    <t>Copiar y pegar del Excell de Mediciamnetos enviado por el prestador a la macro para validación de medicamentos, en caso que hayan negociados.</t>
  </si>
  <si>
    <t>Validar insumos en caso que hayan, buscando información en diferentes fuentes.</t>
  </si>
  <si>
    <t>Validar CUPS, según resolución vigente.</t>
  </si>
  <si>
    <t>Tomar información de formato de evaluación de aptitud para el acuerdo de servicios. Sedes, calificaciones etc.</t>
  </si>
  <si>
    <t>Diligenciar servicios habilitados por el ministerio.</t>
  </si>
  <si>
    <t>Limpiar datos de tarifas, códigos, descripciones de códigos, nomencladores, incluye, excluye.</t>
  </si>
  <si>
    <t xml:space="preserve">Capturar información para el formato MP-FT-0902 </t>
  </si>
  <si>
    <t>Solicitar firmas formato MP-FT-0902,  a los involucrados, por aplicativo Adobe Sing</t>
  </si>
  <si>
    <t>Analista o Auxiliar de convenio Medicos o Jefe de Convenios Medicos</t>
  </si>
  <si>
    <t>Diligenciar presentación para el comité de Comtratación.</t>
  </si>
  <si>
    <t>Revision Juridico</t>
  </si>
  <si>
    <t>Subir acuerdo y documentos al aplicativo Contratarte, teneindo en ceunta las fechas definidas.</t>
  </si>
  <si>
    <t>Recibir aprobación o devolución del area Juridica.</t>
  </si>
  <si>
    <t>Abogado Contratación Juridica</t>
  </si>
  <si>
    <t>Presentacion Comité de contratación</t>
  </si>
  <si>
    <t>Revisar acta de comité de contratación, generada por el area Juridica.</t>
  </si>
  <si>
    <t>Envio de correo con carta de negación o aprobación del comité.</t>
  </si>
  <si>
    <t>Diligenciar formato para creación o renovación de prestador y tarifas.</t>
  </si>
  <si>
    <t>Tomar información del acuerdo de servicios, para Datos administrativos.</t>
  </si>
  <si>
    <t>Tomar información del acuerdo, del RUT y Certificado de Cuenta Bancaria para llenar datos contables.</t>
  </si>
  <si>
    <t>Tomar datos del acuerdo de servicios para llenar campos del lugares de atención y datos para el directorio médico.</t>
  </si>
  <si>
    <t>Tomar información del acuerdo de servicios para Información Contractual.</t>
  </si>
  <si>
    <t>Tomar información del acuerdo de servicios para el anexo de tarifas.</t>
  </si>
  <si>
    <t>Grabación de información</t>
  </si>
  <si>
    <t>Solicitar al CNCT, por el aplicativo Nexos la grabación de la información en Presmed, adjuntando la documentación requerida, según el tipo de solicitud.</t>
  </si>
  <si>
    <t>Validación de información y tarifas grabadas.</t>
  </si>
  <si>
    <t>Validar las devoluciones y realizar correcciones</t>
  </si>
  <si>
    <t>Validar la información grabada en presmed.</t>
  </si>
  <si>
    <t>Solicitar capacitación al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</si>
</sst>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theme="0"/>
      <name val="Arial"/>
    </font>
    <font>
      <sz val="10"/>
      <color theme="1"/>
      <name val="Arial"/>
    </font>
    <font>
      <b/>
      <u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7C54"/>
        <bgColor rgb="FF1C7C5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F1" workbookViewId="0">
      <selection activeCell="N6" sqref="N6"/>
    </sheetView>
  </sheetViews>
  <sheetFormatPr baseColWidth="10" defaultColWidth="12.6640625" defaultRowHeight="15" customHeight="1" x14ac:dyDescent="0.25"/>
  <cols>
    <col min="1" max="1" width="11" customWidth="1"/>
    <col min="2" max="2" width="23.109375" customWidth="1"/>
    <col min="3" max="3" width="54.44140625" customWidth="1"/>
    <col min="4" max="4" width="21.88671875" customWidth="1"/>
    <col min="5" max="5" width="18.44140625" customWidth="1"/>
    <col min="6" max="7" width="20.109375" customWidth="1"/>
    <col min="8" max="11" width="18.6640625" customWidth="1"/>
    <col min="12" max="26" width="9.109375" customWidth="1"/>
  </cols>
  <sheetData>
    <row r="1" spans="1:26" ht="12.75" customHeight="1" x14ac:dyDescent="0.25">
      <c r="A1" s="1" t="s">
        <v>0</v>
      </c>
      <c r="B1" s="1" t="s">
        <v>1</v>
      </c>
      <c r="C1" s="5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1" t="s">
        <v>11</v>
      </c>
      <c r="K1" s="2" t="s">
        <v>12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6" t="s">
        <v>3</v>
      </c>
      <c r="B2" s="7" t="s">
        <v>13</v>
      </c>
      <c r="C2" s="8" t="s">
        <v>14</v>
      </c>
      <c r="D2" s="9" t="s">
        <v>15</v>
      </c>
      <c r="E2" s="9" t="s">
        <v>4</v>
      </c>
      <c r="F2" s="9">
        <v>5</v>
      </c>
      <c r="G2" s="9">
        <v>80</v>
      </c>
      <c r="H2" s="9">
        <v>5</v>
      </c>
      <c r="I2" s="9">
        <v>10</v>
      </c>
      <c r="J2" s="9">
        <f>IFERROR(AVERAGE(H2:I2),"")</f>
        <v>7.5</v>
      </c>
      <c r="K2" s="10">
        <f>IFERROR(ROUND(J2*(1+0.07),2),"")</f>
        <v>8.0299999999999994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6" t="s">
        <v>3</v>
      </c>
      <c r="B3" s="7" t="s">
        <v>13</v>
      </c>
      <c r="C3" s="8" t="s">
        <v>16</v>
      </c>
      <c r="D3" s="9" t="s">
        <v>15</v>
      </c>
      <c r="E3" s="9" t="s">
        <v>4</v>
      </c>
      <c r="F3" s="9">
        <v>5</v>
      </c>
      <c r="G3" s="9">
        <v>80</v>
      </c>
      <c r="H3" s="9">
        <v>5</v>
      </c>
      <c r="I3" s="9">
        <v>10</v>
      </c>
      <c r="J3" s="9">
        <f>IFERROR(AVERAGE(H3:I3),"")</f>
        <v>7.5</v>
      </c>
      <c r="K3" s="10">
        <f t="shared" ref="K3:K34" si="0">IFERROR(ROUND(J3*(1+0.07),2),"")</f>
        <v>8.0299999999999994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6" t="s">
        <v>3</v>
      </c>
      <c r="B4" s="7" t="s">
        <v>13</v>
      </c>
      <c r="C4" s="8" t="s">
        <v>17</v>
      </c>
      <c r="D4" s="9" t="s">
        <v>15</v>
      </c>
      <c r="E4" s="9" t="s">
        <v>4</v>
      </c>
      <c r="F4" s="9">
        <v>5</v>
      </c>
      <c r="G4" s="9">
        <v>5</v>
      </c>
      <c r="H4" s="9">
        <v>240</v>
      </c>
      <c r="I4" s="9">
        <v>480</v>
      </c>
      <c r="J4" s="9">
        <f>IFERROR(AVERAGE(H4:I4),"")</f>
        <v>360</v>
      </c>
      <c r="K4" s="10">
        <f t="shared" si="0"/>
        <v>385.2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6" t="s">
        <v>3</v>
      </c>
      <c r="B5" s="7" t="s">
        <v>13</v>
      </c>
      <c r="C5" s="8" t="s">
        <v>18</v>
      </c>
      <c r="D5" s="9" t="s">
        <v>15</v>
      </c>
      <c r="E5" s="9" t="s">
        <v>4</v>
      </c>
      <c r="F5" s="9">
        <v>5</v>
      </c>
      <c r="G5" s="9">
        <v>80</v>
      </c>
      <c r="H5" s="9">
        <v>5</v>
      </c>
      <c r="I5" s="9">
        <v>10</v>
      </c>
      <c r="J5" s="9">
        <f t="shared" ref="J5:J34" si="1">IFERROR(AVERAGE(H5:I5),"")</f>
        <v>7.5</v>
      </c>
      <c r="K5" s="10">
        <f t="shared" si="0"/>
        <v>8.0299999999999994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6" t="s">
        <v>3</v>
      </c>
      <c r="B6" s="7" t="s">
        <v>13</v>
      </c>
      <c r="C6" s="8" t="s">
        <v>19</v>
      </c>
      <c r="D6" s="9" t="s">
        <v>15</v>
      </c>
      <c r="E6" s="9" t="s">
        <v>4</v>
      </c>
      <c r="F6" s="9">
        <v>5</v>
      </c>
      <c r="G6" s="9">
        <v>80</v>
      </c>
      <c r="H6" s="9">
        <v>5</v>
      </c>
      <c r="I6" s="9">
        <v>10</v>
      </c>
      <c r="J6" s="9">
        <f t="shared" si="1"/>
        <v>7.5</v>
      </c>
      <c r="K6" s="10">
        <f t="shared" si="0"/>
        <v>8.0299999999999994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6" t="s">
        <v>3</v>
      </c>
      <c r="B7" s="7" t="s">
        <v>13</v>
      </c>
      <c r="C7" s="8" t="s">
        <v>20</v>
      </c>
      <c r="D7" s="9" t="s">
        <v>15</v>
      </c>
      <c r="E7" s="9" t="s">
        <v>4</v>
      </c>
      <c r="F7" s="9">
        <v>5</v>
      </c>
      <c r="G7" s="9">
        <v>80</v>
      </c>
      <c r="H7" s="9">
        <v>10</v>
      </c>
      <c r="I7" s="9">
        <v>15</v>
      </c>
      <c r="J7" s="9">
        <f t="shared" si="1"/>
        <v>12.5</v>
      </c>
      <c r="K7" s="10">
        <f t="shared" si="0"/>
        <v>13.38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6" t="s">
        <v>3</v>
      </c>
      <c r="B8" s="7" t="s">
        <v>13</v>
      </c>
      <c r="C8" s="8" t="s">
        <v>21</v>
      </c>
      <c r="D8" s="9" t="s">
        <v>15</v>
      </c>
      <c r="E8" s="9" t="s">
        <v>22</v>
      </c>
      <c r="F8" s="9">
        <v>5</v>
      </c>
      <c r="G8" s="9">
        <v>80</v>
      </c>
      <c r="H8" s="9">
        <v>20</v>
      </c>
      <c r="I8" s="9">
        <v>30</v>
      </c>
      <c r="J8" s="9">
        <f t="shared" si="1"/>
        <v>25</v>
      </c>
      <c r="K8" s="10">
        <f t="shared" si="0"/>
        <v>26.75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6" t="s">
        <v>3</v>
      </c>
      <c r="B9" s="7" t="s">
        <v>13</v>
      </c>
      <c r="C9" s="8" t="s">
        <v>23</v>
      </c>
      <c r="D9" s="9" t="s">
        <v>15</v>
      </c>
      <c r="E9" s="9" t="s">
        <v>22</v>
      </c>
      <c r="F9" s="9">
        <v>5</v>
      </c>
      <c r="G9" s="9">
        <v>80</v>
      </c>
      <c r="H9" s="9">
        <v>5</v>
      </c>
      <c r="I9" s="9">
        <v>10</v>
      </c>
      <c r="J9" s="9">
        <f t="shared" si="1"/>
        <v>7.5</v>
      </c>
      <c r="K9" s="10">
        <f t="shared" si="0"/>
        <v>8.0299999999999994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6" t="s">
        <v>3</v>
      </c>
      <c r="B10" s="7" t="s">
        <v>13</v>
      </c>
      <c r="C10" s="8" t="s">
        <v>24</v>
      </c>
      <c r="D10" s="9" t="s">
        <v>15</v>
      </c>
      <c r="E10" s="9" t="s">
        <v>4</v>
      </c>
      <c r="F10" s="9">
        <v>5</v>
      </c>
      <c r="G10" s="9">
        <v>80</v>
      </c>
      <c r="H10" s="9">
        <v>5</v>
      </c>
      <c r="I10" s="9">
        <v>8</v>
      </c>
      <c r="J10" s="9">
        <f t="shared" si="1"/>
        <v>6.5</v>
      </c>
      <c r="K10" s="10">
        <f t="shared" si="0"/>
        <v>6.96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6" t="s">
        <v>3</v>
      </c>
      <c r="B11" s="7" t="s">
        <v>25</v>
      </c>
      <c r="C11" s="8" t="s">
        <v>26</v>
      </c>
      <c r="D11" s="9" t="s">
        <v>15</v>
      </c>
      <c r="E11" s="9" t="s">
        <v>4</v>
      </c>
      <c r="F11" s="9">
        <v>5</v>
      </c>
      <c r="G11" s="9">
        <v>80</v>
      </c>
      <c r="H11" s="9">
        <v>5</v>
      </c>
      <c r="I11" s="9">
        <v>8</v>
      </c>
      <c r="J11" s="9">
        <f t="shared" si="1"/>
        <v>6.5</v>
      </c>
      <c r="K11" s="10">
        <f t="shared" si="0"/>
        <v>6.96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6" t="s">
        <v>3</v>
      </c>
      <c r="B12" s="7" t="s">
        <v>25</v>
      </c>
      <c r="C12" s="8" t="s">
        <v>27</v>
      </c>
      <c r="D12" s="9" t="s">
        <v>15</v>
      </c>
      <c r="E12" s="9" t="s">
        <v>4</v>
      </c>
      <c r="F12" s="9">
        <v>5</v>
      </c>
      <c r="G12" s="9">
        <v>80</v>
      </c>
      <c r="H12" s="9">
        <v>60</v>
      </c>
      <c r="I12" s="9">
        <v>480</v>
      </c>
      <c r="J12" s="9">
        <f t="shared" si="1"/>
        <v>270</v>
      </c>
      <c r="K12" s="10">
        <f t="shared" si="0"/>
        <v>288.89999999999998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.25" customHeight="1" x14ac:dyDescent="0.25">
      <c r="A13" s="6" t="s">
        <v>3</v>
      </c>
      <c r="B13" s="7" t="s">
        <v>25</v>
      </c>
      <c r="C13" s="8" t="s">
        <v>28</v>
      </c>
      <c r="D13" s="9" t="s">
        <v>15</v>
      </c>
      <c r="E13" s="9" t="s">
        <v>22</v>
      </c>
      <c r="F13" s="9">
        <v>5</v>
      </c>
      <c r="G13" s="9">
        <v>5</v>
      </c>
      <c r="H13" s="9">
        <v>20</v>
      </c>
      <c r="I13" s="9">
        <v>30</v>
      </c>
      <c r="J13" s="9">
        <f t="shared" si="1"/>
        <v>25</v>
      </c>
      <c r="K13" s="10">
        <f t="shared" si="0"/>
        <v>26.75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6" t="s">
        <v>3</v>
      </c>
      <c r="B14" s="7" t="s">
        <v>25</v>
      </c>
      <c r="C14" s="8" t="s">
        <v>29</v>
      </c>
      <c r="D14" s="9" t="s">
        <v>15</v>
      </c>
      <c r="E14" s="9" t="s">
        <v>4</v>
      </c>
      <c r="F14" s="9">
        <v>5</v>
      </c>
      <c r="G14" s="9">
        <v>5</v>
      </c>
      <c r="H14" s="9">
        <v>240</v>
      </c>
      <c r="I14" s="9">
        <v>480</v>
      </c>
      <c r="J14" s="9">
        <f t="shared" si="1"/>
        <v>360</v>
      </c>
      <c r="K14" s="10">
        <f t="shared" si="0"/>
        <v>385.2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6" t="s">
        <v>3</v>
      </c>
      <c r="B15" s="7" t="s">
        <v>25</v>
      </c>
      <c r="C15" s="8" t="s">
        <v>30</v>
      </c>
      <c r="D15" s="9" t="s">
        <v>15</v>
      </c>
      <c r="E15" s="9" t="s">
        <v>4</v>
      </c>
      <c r="F15" s="9">
        <v>5</v>
      </c>
      <c r="G15" s="9">
        <v>80</v>
      </c>
      <c r="H15" s="9">
        <v>15</v>
      </c>
      <c r="I15" s="9">
        <v>60</v>
      </c>
      <c r="J15" s="9">
        <f t="shared" si="1"/>
        <v>37.5</v>
      </c>
      <c r="K15" s="10">
        <f t="shared" si="0"/>
        <v>40.130000000000003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6" t="s">
        <v>3</v>
      </c>
      <c r="B16" s="7" t="s">
        <v>25</v>
      </c>
      <c r="C16" s="8" t="s">
        <v>31</v>
      </c>
      <c r="D16" s="9" t="s">
        <v>15</v>
      </c>
      <c r="E16" s="9" t="s">
        <v>4</v>
      </c>
      <c r="F16" s="9">
        <v>5</v>
      </c>
      <c r="G16" s="9">
        <v>80</v>
      </c>
      <c r="H16" s="9">
        <v>5</v>
      </c>
      <c r="I16" s="9">
        <v>8</v>
      </c>
      <c r="J16" s="9">
        <f t="shared" si="1"/>
        <v>6.5</v>
      </c>
      <c r="K16" s="10">
        <f t="shared" si="0"/>
        <v>6.96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6" t="s">
        <v>3</v>
      </c>
      <c r="B17" s="7" t="s">
        <v>25</v>
      </c>
      <c r="C17" s="8" t="s">
        <v>32</v>
      </c>
      <c r="D17" s="9" t="s">
        <v>15</v>
      </c>
      <c r="E17" s="9" t="s">
        <v>4</v>
      </c>
      <c r="F17" s="9">
        <v>5</v>
      </c>
      <c r="G17" s="9">
        <v>80</v>
      </c>
      <c r="H17" s="11">
        <v>5</v>
      </c>
      <c r="I17" s="11">
        <v>10</v>
      </c>
      <c r="J17" s="9">
        <f t="shared" si="1"/>
        <v>7.5</v>
      </c>
      <c r="K17" s="10">
        <f t="shared" si="0"/>
        <v>8.0299999999999994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6" t="s">
        <v>3</v>
      </c>
      <c r="B18" s="7" t="s">
        <v>25</v>
      </c>
      <c r="C18" s="8" t="s">
        <v>33</v>
      </c>
      <c r="D18" s="9" t="s">
        <v>15</v>
      </c>
      <c r="E18" s="9" t="s">
        <v>4</v>
      </c>
      <c r="F18" s="9">
        <v>5</v>
      </c>
      <c r="G18" s="9">
        <v>80</v>
      </c>
      <c r="H18" s="11">
        <v>15</v>
      </c>
      <c r="I18" s="11">
        <v>240</v>
      </c>
      <c r="J18" s="9">
        <f t="shared" si="1"/>
        <v>127.5</v>
      </c>
      <c r="K18" s="10">
        <f t="shared" si="0"/>
        <v>136.43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6" t="s">
        <v>3</v>
      </c>
      <c r="B19" s="7" t="s">
        <v>25</v>
      </c>
      <c r="C19" s="8" t="s">
        <v>34</v>
      </c>
      <c r="D19" s="9" t="s">
        <v>15</v>
      </c>
      <c r="E19" s="9" t="s">
        <v>4</v>
      </c>
      <c r="F19" s="9">
        <v>5</v>
      </c>
      <c r="G19" s="9">
        <v>80</v>
      </c>
      <c r="H19" s="11">
        <v>20</v>
      </c>
      <c r="I19" s="11">
        <v>30</v>
      </c>
      <c r="J19" s="9">
        <f t="shared" si="1"/>
        <v>25</v>
      </c>
      <c r="K19" s="10">
        <f t="shared" si="0"/>
        <v>26.75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6" t="s">
        <v>3</v>
      </c>
      <c r="B20" s="7" t="s">
        <v>25</v>
      </c>
      <c r="C20" s="8" t="s">
        <v>35</v>
      </c>
      <c r="D20" s="9" t="s">
        <v>36</v>
      </c>
      <c r="E20" s="9" t="s">
        <v>22</v>
      </c>
      <c r="F20" s="9">
        <v>5</v>
      </c>
      <c r="G20" s="9">
        <v>80</v>
      </c>
      <c r="H20" s="11">
        <v>5</v>
      </c>
      <c r="I20" s="11">
        <v>8</v>
      </c>
      <c r="J20" s="9">
        <f t="shared" si="1"/>
        <v>6.5</v>
      </c>
      <c r="K20" s="10">
        <f t="shared" si="0"/>
        <v>6.96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6" t="s">
        <v>3</v>
      </c>
      <c r="B21" s="7" t="s">
        <v>25</v>
      </c>
      <c r="C21" s="8" t="s">
        <v>37</v>
      </c>
      <c r="D21" s="9" t="s">
        <v>15</v>
      </c>
      <c r="E21" s="9" t="s">
        <v>4</v>
      </c>
      <c r="F21" s="9">
        <v>5</v>
      </c>
      <c r="G21" s="9">
        <v>10</v>
      </c>
      <c r="H21" s="11">
        <v>40</v>
      </c>
      <c r="I21" s="11">
        <v>60</v>
      </c>
      <c r="J21" s="9">
        <f t="shared" si="1"/>
        <v>50</v>
      </c>
      <c r="K21" s="10">
        <f t="shared" si="0"/>
        <v>53.5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6" t="s">
        <v>3</v>
      </c>
      <c r="B22" s="7" t="s">
        <v>38</v>
      </c>
      <c r="C22" s="8" t="s">
        <v>39</v>
      </c>
      <c r="D22" s="9" t="s">
        <v>15</v>
      </c>
      <c r="E22" s="9" t="s">
        <v>22</v>
      </c>
      <c r="F22" s="9">
        <v>5</v>
      </c>
      <c r="G22" s="9">
        <v>80</v>
      </c>
      <c r="H22" s="11">
        <v>10</v>
      </c>
      <c r="I22" s="11">
        <v>15</v>
      </c>
      <c r="J22" s="9">
        <f t="shared" si="1"/>
        <v>12.5</v>
      </c>
      <c r="K22" s="10">
        <f t="shared" si="0"/>
        <v>13.38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6" t="s">
        <v>3</v>
      </c>
      <c r="B23" s="7" t="s">
        <v>38</v>
      </c>
      <c r="C23" s="8" t="s">
        <v>40</v>
      </c>
      <c r="D23" s="9" t="s">
        <v>41</v>
      </c>
      <c r="E23" s="9" t="s">
        <v>22</v>
      </c>
      <c r="F23" s="9">
        <v>5</v>
      </c>
      <c r="G23" s="9">
        <v>80</v>
      </c>
      <c r="H23" s="11">
        <v>2</v>
      </c>
      <c r="I23" s="11">
        <v>5</v>
      </c>
      <c r="J23" s="9">
        <f t="shared" si="1"/>
        <v>3.5</v>
      </c>
      <c r="K23" s="10">
        <f t="shared" si="0"/>
        <v>3.75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6" t="s">
        <v>3</v>
      </c>
      <c r="B24" s="7" t="s">
        <v>42</v>
      </c>
      <c r="C24" s="8" t="s">
        <v>43</v>
      </c>
      <c r="D24" s="9" t="s">
        <v>41</v>
      </c>
      <c r="E24" s="9" t="s">
        <v>4</v>
      </c>
      <c r="F24" s="9">
        <v>5</v>
      </c>
      <c r="G24" s="9">
        <v>80</v>
      </c>
      <c r="H24" s="11">
        <v>2</v>
      </c>
      <c r="I24" s="11">
        <v>5</v>
      </c>
      <c r="J24" s="11">
        <f t="shared" si="1"/>
        <v>3.5</v>
      </c>
      <c r="K24" s="10">
        <f t="shared" si="0"/>
        <v>3.75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6" t="s">
        <v>3</v>
      </c>
      <c r="B25" s="7" t="s">
        <v>42</v>
      </c>
      <c r="C25" s="8" t="s">
        <v>44</v>
      </c>
      <c r="D25" s="9" t="s">
        <v>15</v>
      </c>
      <c r="E25" s="9" t="s">
        <v>4</v>
      </c>
      <c r="F25" s="9">
        <v>5</v>
      </c>
      <c r="G25" s="9">
        <v>80</v>
      </c>
      <c r="H25" s="11">
        <v>5</v>
      </c>
      <c r="I25" s="11">
        <v>8</v>
      </c>
      <c r="J25" s="11">
        <f t="shared" si="1"/>
        <v>6.5</v>
      </c>
      <c r="K25" s="10">
        <f t="shared" si="0"/>
        <v>6.96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6" t="s">
        <v>3</v>
      </c>
      <c r="B26" s="7" t="s">
        <v>45</v>
      </c>
      <c r="C26" s="8" t="s">
        <v>46</v>
      </c>
      <c r="D26" s="9" t="s">
        <v>15</v>
      </c>
      <c r="E26" s="9" t="s">
        <v>4</v>
      </c>
      <c r="F26" s="9">
        <v>5</v>
      </c>
      <c r="G26" s="9">
        <v>80</v>
      </c>
      <c r="H26" s="11">
        <v>5</v>
      </c>
      <c r="I26" s="11">
        <v>8</v>
      </c>
      <c r="J26" s="11">
        <f t="shared" si="1"/>
        <v>6.5</v>
      </c>
      <c r="K26" s="10">
        <f t="shared" si="0"/>
        <v>6.96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6" t="s">
        <v>3</v>
      </c>
      <c r="B27" s="7" t="s">
        <v>45</v>
      </c>
      <c r="C27" s="8" t="s">
        <v>47</v>
      </c>
      <c r="D27" s="9" t="s">
        <v>15</v>
      </c>
      <c r="E27" s="9" t="s">
        <v>4</v>
      </c>
      <c r="F27" s="9">
        <v>5</v>
      </c>
      <c r="G27" s="9">
        <v>80</v>
      </c>
      <c r="H27" s="11">
        <v>5</v>
      </c>
      <c r="I27" s="11">
        <v>8</v>
      </c>
      <c r="J27" s="11">
        <f t="shared" si="1"/>
        <v>6.5</v>
      </c>
      <c r="K27" s="10">
        <f t="shared" si="0"/>
        <v>6.96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6" t="s">
        <v>3</v>
      </c>
      <c r="B28" s="7" t="s">
        <v>45</v>
      </c>
      <c r="C28" s="8" t="s">
        <v>48</v>
      </c>
      <c r="D28" s="9" t="s">
        <v>15</v>
      </c>
      <c r="E28" s="9" t="s">
        <v>4</v>
      </c>
      <c r="F28" s="9">
        <v>5</v>
      </c>
      <c r="G28" s="9">
        <v>80</v>
      </c>
      <c r="H28" s="11">
        <v>10</v>
      </c>
      <c r="I28" s="11">
        <v>30</v>
      </c>
      <c r="J28" s="11">
        <f t="shared" si="1"/>
        <v>20</v>
      </c>
      <c r="K28" s="10">
        <f t="shared" si="0"/>
        <v>21.4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6" t="s">
        <v>3</v>
      </c>
      <c r="B29" s="7" t="s">
        <v>45</v>
      </c>
      <c r="C29" s="8" t="s">
        <v>49</v>
      </c>
      <c r="D29" s="9" t="s">
        <v>15</v>
      </c>
      <c r="E29" s="9" t="s">
        <v>4</v>
      </c>
      <c r="F29" s="9">
        <v>5</v>
      </c>
      <c r="G29" s="9">
        <v>80</v>
      </c>
      <c r="H29" s="11">
        <v>5</v>
      </c>
      <c r="I29" s="11">
        <v>8</v>
      </c>
      <c r="J29" s="11">
        <f t="shared" si="1"/>
        <v>6.5</v>
      </c>
      <c r="K29" s="10">
        <f t="shared" si="0"/>
        <v>6.96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6" t="s">
        <v>3</v>
      </c>
      <c r="B30" s="7" t="s">
        <v>45</v>
      </c>
      <c r="C30" s="8" t="s">
        <v>50</v>
      </c>
      <c r="D30" s="9" t="s">
        <v>15</v>
      </c>
      <c r="E30" s="9" t="s">
        <v>4</v>
      </c>
      <c r="F30" s="9">
        <v>5</v>
      </c>
      <c r="G30" s="9">
        <v>80</v>
      </c>
      <c r="H30" s="11">
        <v>15</v>
      </c>
      <c r="I30" s="11">
        <v>480</v>
      </c>
      <c r="J30" s="11">
        <f t="shared" si="1"/>
        <v>247.5</v>
      </c>
      <c r="K30" s="10">
        <f t="shared" si="0"/>
        <v>264.83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6" t="s">
        <v>3</v>
      </c>
      <c r="B31" s="7" t="s">
        <v>51</v>
      </c>
      <c r="C31" s="8" t="s">
        <v>52</v>
      </c>
      <c r="D31" s="9" t="s">
        <v>15</v>
      </c>
      <c r="E31" s="9" t="s">
        <v>22</v>
      </c>
      <c r="F31" s="9">
        <v>5</v>
      </c>
      <c r="G31" s="9">
        <v>80</v>
      </c>
      <c r="H31" s="11">
        <v>3</v>
      </c>
      <c r="I31" s="11">
        <v>5</v>
      </c>
      <c r="J31" s="11">
        <f t="shared" si="1"/>
        <v>4</v>
      </c>
      <c r="K31" s="10">
        <f t="shared" si="0"/>
        <v>4.28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6" t="s">
        <v>3</v>
      </c>
      <c r="B32" s="7" t="s">
        <v>53</v>
      </c>
      <c r="C32" s="8" t="s">
        <v>54</v>
      </c>
      <c r="D32" s="9" t="s">
        <v>15</v>
      </c>
      <c r="E32" s="9" t="s">
        <v>22</v>
      </c>
      <c r="F32" s="9">
        <v>5</v>
      </c>
      <c r="G32" s="9">
        <v>80</v>
      </c>
      <c r="H32" s="11">
        <v>5</v>
      </c>
      <c r="I32" s="11">
        <v>30</v>
      </c>
      <c r="J32" s="11">
        <f t="shared" si="1"/>
        <v>17.5</v>
      </c>
      <c r="K32" s="10">
        <f t="shared" si="0"/>
        <v>18.73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6" t="s">
        <v>3</v>
      </c>
      <c r="B33" s="7" t="s">
        <v>53</v>
      </c>
      <c r="C33" s="8" t="s">
        <v>55</v>
      </c>
      <c r="D33" s="9" t="s">
        <v>15</v>
      </c>
      <c r="E33" s="9" t="s">
        <v>4</v>
      </c>
      <c r="F33" s="9">
        <v>5</v>
      </c>
      <c r="G33" s="9">
        <v>80</v>
      </c>
      <c r="H33" s="11">
        <v>5</v>
      </c>
      <c r="I33" s="11">
        <v>30</v>
      </c>
      <c r="J33" s="11">
        <f t="shared" si="1"/>
        <v>17.5</v>
      </c>
      <c r="K33" s="10">
        <f t="shared" si="0"/>
        <v>18.73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6" t="s">
        <v>3</v>
      </c>
      <c r="B34" s="7" t="s">
        <v>53</v>
      </c>
      <c r="C34" s="8" t="s">
        <v>56</v>
      </c>
      <c r="D34" s="9" t="s">
        <v>15</v>
      </c>
      <c r="E34" s="9" t="s">
        <v>4</v>
      </c>
      <c r="F34" s="9">
        <v>5</v>
      </c>
      <c r="G34" s="9">
        <v>80</v>
      </c>
      <c r="H34" s="11">
        <v>3</v>
      </c>
      <c r="I34" s="11">
        <v>5</v>
      </c>
      <c r="J34" s="11">
        <f t="shared" si="1"/>
        <v>4</v>
      </c>
      <c r="K34" s="10">
        <f t="shared" si="0"/>
        <v>4.28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3"/>
      <c r="B35" s="3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3"/>
      <c r="B36" s="3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3"/>
      <c r="B37" s="3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3"/>
      <c r="B38" s="3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3"/>
      <c r="B39" s="3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3"/>
      <c r="B40" s="3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3"/>
      <c r="B42" s="3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3"/>
      <c r="B43" s="3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3"/>
      <c r="B44" s="3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3"/>
      <c r="B45" s="3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3"/>
      <c r="B46" s="3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3"/>
      <c r="B47" s="3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3"/>
      <c r="B49" s="3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3"/>
      <c r="B50" s="3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3"/>
      <c r="B51" s="3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3"/>
      <c r="B52" s="3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3"/>
      <c r="B53" s="3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3"/>
      <c r="B54" s="3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3"/>
      <c r="B55" s="3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3"/>
      <c r="B56" s="3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3"/>
      <c r="B57" s="3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3"/>
      <c r="B58" s="3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3"/>
      <c r="B59" s="3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3"/>
      <c r="B60" s="3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3"/>
      <c r="B62" s="3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3"/>
      <c r="B63" s="3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3"/>
      <c r="B64" s="3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3"/>
      <c r="B65" s="3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3"/>
      <c r="B66" s="3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3"/>
      <c r="B67" s="3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3"/>
      <c r="B68" s="3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3"/>
      <c r="B69" s="3"/>
      <c r="C69" s="4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3"/>
      <c r="B70" s="3"/>
      <c r="C70" s="4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3"/>
      <c r="B71" s="3"/>
      <c r="C71" s="4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3"/>
      <c r="B72" s="3"/>
      <c r="C72" s="4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3"/>
      <c r="B73" s="3"/>
      <c r="C73" s="4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3"/>
      <c r="B74" s="3"/>
      <c r="C74" s="4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3"/>
      <c r="B75" s="3"/>
      <c r="C75" s="4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3"/>
      <c r="B76" s="3"/>
      <c r="C76" s="4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3"/>
      <c r="B77" s="3"/>
      <c r="C77" s="4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3"/>
      <c r="B78" s="3"/>
      <c r="C78" s="4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3"/>
      <c r="B79" s="3"/>
      <c r="C79" s="4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3"/>
      <c r="B80" s="3"/>
      <c r="C80" s="4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3"/>
      <c r="B81" s="3"/>
      <c r="C81" s="4"/>
      <c r="D81" s="4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3"/>
      <c r="B82" s="3"/>
      <c r="C82" s="4"/>
      <c r="D82" s="4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3"/>
      <c r="B83" s="3"/>
      <c r="C83" s="4"/>
      <c r="D83" s="4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3"/>
      <c r="B84" s="3"/>
      <c r="C84" s="4"/>
      <c r="D84" s="4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4"/>
      <c r="D85" s="4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3"/>
      <c r="B86" s="3"/>
      <c r="C86" s="4"/>
      <c r="D86" s="4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3"/>
      <c r="B87" s="3"/>
      <c r="C87" s="4"/>
      <c r="D87" s="4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3"/>
      <c r="B88" s="3"/>
      <c r="C88" s="4"/>
      <c r="D88" s="4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3"/>
      <c r="B89" s="3"/>
      <c r="C89" s="4"/>
      <c r="D89" s="4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3"/>
      <c r="B90" s="3"/>
      <c r="C90" s="4"/>
      <c r="D90" s="4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3"/>
      <c r="B91" s="3"/>
      <c r="C91" s="4"/>
      <c r="D91" s="4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3"/>
      <c r="B92" s="3"/>
      <c r="C92" s="4"/>
      <c r="D92" s="4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3"/>
      <c r="B93" s="3"/>
      <c r="C93" s="4"/>
      <c r="D93" s="4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3"/>
      <c r="B94" s="3"/>
      <c r="C94" s="4"/>
      <c r="D94" s="4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3"/>
      <c r="B95" s="3"/>
      <c r="C95" s="4"/>
      <c r="D95" s="4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3"/>
      <c r="B96" s="3"/>
      <c r="C96" s="4"/>
      <c r="D96" s="4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3"/>
      <c r="B97" s="3"/>
      <c r="C97" s="4"/>
      <c r="D97" s="4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3"/>
      <c r="B98" s="3"/>
      <c r="C98" s="4"/>
      <c r="D98" s="4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3"/>
      <c r="B99" s="3"/>
      <c r="C99" s="4"/>
      <c r="D99" s="4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3"/>
      <c r="B100" s="3"/>
      <c r="C100" s="4"/>
      <c r="D100" s="4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3"/>
      <c r="B101" s="3"/>
      <c r="C101" s="4"/>
      <c r="D101" s="4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3"/>
      <c r="B102" s="3"/>
      <c r="C102" s="4"/>
      <c r="D102" s="4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3"/>
      <c r="B103" s="3"/>
      <c r="C103" s="4"/>
      <c r="D103" s="4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3"/>
      <c r="B104" s="3"/>
      <c r="C104" s="4"/>
      <c r="D104" s="4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3"/>
      <c r="B105" s="3"/>
      <c r="C105" s="4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3"/>
      <c r="B106" s="3"/>
      <c r="C106" s="4"/>
      <c r="D106" s="4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3"/>
      <c r="B107" s="3"/>
      <c r="C107" s="4"/>
      <c r="D107" s="4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3"/>
      <c r="B108" s="3"/>
      <c r="C108" s="4"/>
      <c r="D108" s="4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3"/>
      <c r="B109" s="3"/>
      <c r="C109" s="4"/>
      <c r="D109" s="4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3"/>
      <c r="B110" s="3"/>
      <c r="C110" s="4"/>
      <c r="D110" s="4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4"/>
      <c r="D111" s="4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4"/>
      <c r="D112" s="4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4"/>
      <c r="D113" s="4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4"/>
      <c r="D114" s="4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4"/>
      <c r="D115" s="4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4"/>
      <c r="D116" s="4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4"/>
      <c r="D117" s="4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4"/>
      <c r="D118" s="4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4"/>
      <c r="D119" s="4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4"/>
      <c r="D120" s="4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4"/>
      <c r="D121" s="4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4"/>
      <c r="D122" s="4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4"/>
      <c r="D123" s="4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4"/>
      <c r="D124" s="4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4"/>
      <c r="D125" s="4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4"/>
      <c r="D126" s="4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4"/>
      <c r="D127" s="4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4"/>
      <c r="D128" s="4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4"/>
      <c r="D129" s="4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4"/>
      <c r="D130" s="4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4"/>
      <c r="D131" s="4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4"/>
      <c r="D132" s="4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4"/>
      <c r="D133" s="4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4"/>
      <c r="D134" s="4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4"/>
      <c r="D135" s="4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4"/>
      <c r="D136" s="4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4"/>
      <c r="D137" s="4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4"/>
      <c r="D138" s="4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4"/>
      <c r="D139" s="4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4"/>
      <c r="D140" s="4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4"/>
      <c r="D141" s="4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4"/>
      <c r="D142" s="4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4"/>
      <c r="D143" s="4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4"/>
      <c r="D144" s="4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4"/>
      <c r="D145" s="4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4"/>
      <c r="D146" s="4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4"/>
      <c r="D147" s="4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4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4"/>
      <c r="D149" s="4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4"/>
      <c r="D150" s="4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4"/>
      <c r="D151" s="4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4"/>
      <c r="D152" s="4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4"/>
      <c r="D153" s="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4"/>
      <c r="D154" s="4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4"/>
      <c r="D155" s="4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4"/>
      <c r="D156" s="4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4"/>
      <c r="D157" s="4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4"/>
      <c r="D158" s="4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4"/>
      <c r="D159" s="4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4"/>
      <c r="D160" s="4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4"/>
      <c r="D161" s="4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4"/>
      <c r="D162" s="4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4"/>
      <c r="D163" s="4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4"/>
      <c r="D164" s="4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4"/>
      <c r="D165" s="4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4"/>
      <c r="D166" s="4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4"/>
      <c r="D167" s="4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4"/>
      <c r="D168" s="4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4"/>
      <c r="D169" s="4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4"/>
      <c r="D170" s="4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4"/>
      <c r="D171" s="4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4"/>
      <c r="D172" s="4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4"/>
      <c r="D173" s="4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4"/>
      <c r="D174" s="4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4"/>
      <c r="D175" s="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4"/>
      <c r="D176" s="4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4"/>
      <c r="D177" s="4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4"/>
      <c r="D178" s="4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4"/>
      <c r="D179" s="4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4"/>
      <c r="D180" s="4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4"/>
      <c r="D181" s="4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4"/>
      <c r="D182" s="4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4"/>
      <c r="D183" s="4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4"/>
      <c r="D184" s="4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4"/>
      <c r="D185" s="4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4"/>
      <c r="D186" s="4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4"/>
      <c r="D187" s="4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4"/>
      <c r="D188" s="4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4"/>
      <c r="D189" s="4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4"/>
      <c r="D190" s="4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4"/>
      <c r="D191" s="4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4"/>
      <c r="D192" s="4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4"/>
      <c r="D193" s="4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4"/>
      <c r="D194" s="4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4"/>
      <c r="D195" s="4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4"/>
      <c r="D196" s="4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4"/>
      <c r="D197" s="4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4"/>
      <c r="D198" s="4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4"/>
      <c r="D199" s="4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4"/>
      <c r="D200" s="4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4"/>
      <c r="D201" s="4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4"/>
      <c r="D202" s="4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4"/>
      <c r="D203" s="4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4"/>
      <c r="D204" s="4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4"/>
      <c r="D205" s="4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4"/>
      <c r="D206" s="4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4"/>
      <c r="D207" s="4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4"/>
      <c r="D208" s="4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4"/>
      <c r="D209" s="4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4"/>
      <c r="D210" s="4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4"/>
      <c r="D211" s="4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4"/>
      <c r="D212" s="4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4"/>
      <c r="D213" s="4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4"/>
      <c r="D214" s="4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4"/>
      <c r="D215" s="4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4"/>
      <c r="D216" s="4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4"/>
      <c r="D217" s="4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4"/>
      <c r="D218" s="4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4"/>
      <c r="D219" s="4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4"/>
      <c r="D220" s="4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4"/>
      <c r="D221" s="4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4"/>
      <c r="D222" s="4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4"/>
      <c r="D223" s="4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4"/>
      <c r="D224" s="4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4"/>
      <c r="D225" s="4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4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4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4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4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4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4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4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4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4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4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4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4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4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4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4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4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4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4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4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4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4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4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4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4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4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4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4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4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4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4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4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4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4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4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4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4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4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4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4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4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4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4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4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4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4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4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4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4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4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4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4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4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4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4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4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4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4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4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4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4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4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4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4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4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4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4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4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4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4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4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4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4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4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4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4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4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4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4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4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4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4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4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4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4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4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4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4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4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4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4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4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4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4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4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4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4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4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4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4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4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4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4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4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4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4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4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4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4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4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4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4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4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4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4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4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4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4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4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4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4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4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4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4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4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4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4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4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4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4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4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4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4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4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4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4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4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4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4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4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4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4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4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4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4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4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4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4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4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4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4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4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4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4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4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4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4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4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4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4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4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4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4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4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4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4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4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4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4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4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4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4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4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4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4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4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4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4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4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4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4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4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4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4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4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4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4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4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4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4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4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4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4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4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4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4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4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4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4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4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4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4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4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4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4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4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4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4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4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4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4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4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4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4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4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4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4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4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4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4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4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4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4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4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4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4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4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4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4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4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4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4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4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4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4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4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4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4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4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4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4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4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4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4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4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4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4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4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4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4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4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4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4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4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4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4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4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4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4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4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4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4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4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4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4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4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4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4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4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4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4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4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4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4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4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4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4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4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4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4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4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4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4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4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4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4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4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4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4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4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4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4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4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4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4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4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4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4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4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4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4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4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4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4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4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4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4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4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4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4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4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4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4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4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4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4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4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4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4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4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4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4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4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4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4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4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4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4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4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4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4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4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4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4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4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4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4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4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4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4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4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4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4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4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4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4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4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4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4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4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4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4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4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4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4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4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4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4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4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4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4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4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4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4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4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4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4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4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4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4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4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4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4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4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4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4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4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4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4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4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4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4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4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4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4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4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4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4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4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4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4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4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4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4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4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4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4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4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4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4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4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4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4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4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4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4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4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4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4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4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4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4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4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4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4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4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4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4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4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4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4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4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4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4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4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4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4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4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4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4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4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4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4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4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4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4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4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4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4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4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4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4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4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4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4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4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4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4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4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4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4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4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4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4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4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4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4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4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4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4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4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4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4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4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4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4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4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4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4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4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4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4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4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4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4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4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4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4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4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4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4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4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4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4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4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4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4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4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4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4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4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4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4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4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4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4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4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4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4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4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4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4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4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4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4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4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4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4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4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4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4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4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4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4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4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4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4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4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4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4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4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4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4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4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4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4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4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4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4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4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4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4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4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4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4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4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4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4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4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4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4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4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4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4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4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4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4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4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4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4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4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4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4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4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4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4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4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4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4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4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4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4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4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4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4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4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4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4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4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4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4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4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4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4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4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4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4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4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4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4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4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4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4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4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4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4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4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4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4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4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4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4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4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4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4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4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4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4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4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4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4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4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4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4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4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4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4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4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4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4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4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4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4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4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4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4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4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4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4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4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4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4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4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4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4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4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4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4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4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4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4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4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4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4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4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4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4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4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4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4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4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4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4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4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4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4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4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4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4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4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4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4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4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4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4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4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4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4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4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4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4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4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4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4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4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4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4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4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4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4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4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4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4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4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4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4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4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4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4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4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4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4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4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4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4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4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4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4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4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4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4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4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4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4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4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4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4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4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4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4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4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4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4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4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4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4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4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4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4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4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4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4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4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4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4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4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4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4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4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4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4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4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4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4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4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4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4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4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4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4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4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4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4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4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4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4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4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4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4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4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4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4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4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4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4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4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4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4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4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4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4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4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4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4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4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4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4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4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4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4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4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4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4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4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4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4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4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4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4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4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4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4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4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4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4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InputMessage="1" showErrorMessage="1" sqref="A2:A34" xr:uid="{B1684DF3-5080-42A3-B9EF-F954ADC0DD38}">
      <formula1>"AS-IS, TO-BE"</formula1>
    </dataValidation>
    <dataValidation type="list" allowBlank="1" showInputMessage="1" showErrorMessage="1" sqref="E2:E34" xr:uid="{3CB1B534-A1F4-4AF8-B890-C53ACD8C15D3}">
      <formula1>"SÍ,NO"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 Pierre Londoño Gonzalez</cp:lastModifiedBy>
  <dcterms:modified xsi:type="dcterms:W3CDTF">2025-11-22T18:48:54Z</dcterms:modified>
</cp:coreProperties>
</file>